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AS 1313" sheetId="1" r:id="rId5"/>
    <sheet state="visible" name="entregas viejas" sheetId="2" r:id="rId6"/>
    <sheet state="visible" name="entregas 2025" sheetId="3" r:id="rId7"/>
    <sheet state="visible" name="parece qe entregadas" sheetId="4" r:id="rId8"/>
  </sheets>
  <definedNames/>
  <calcPr/>
</workbook>
</file>

<file path=xl/sharedStrings.xml><?xml version="1.0" encoding="utf-8"?>
<sst xmlns="http://schemas.openxmlformats.org/spreadsheetml/2006/main" count="7075" uniqueCount="2218">
  <si>
    <t xml:space="preserve"> </t>
  </si>
  <si>
    <t>TIENDA</t>
  </si>
  <si>
    <t>FECHA DE RENOV</t>
  </si>
  <si>
    <t>ULTIMO PAGO</t>
  </si>
  <si>
    <t>LIMITE DE PAQUETES</t>
  </si>
  <si>
    <t>569 96147307</t>
  </si>
  <si>
    <t>MEMORY LAB</t>
  </si>
  <si>
    <t>DANIEL SALAZAR</t>
  </si>
  <si>
    <t>BRUMA TALLER</t>
  </si>
  <si>
    <t>*</t>
  </si>
  <si>
    <t>fecha llegada</t>
  </si>
  <si>
    <t>quien trajo</t>
  </si>
  <si>
    <t>info extra</t>
  </si>
  <si>
    <t>quien retira</t>
  </si>
  <si>
    <t>pagado?</t>
  </si>
  <si>
    <t>Ubicación</t>
  </si>
  <si>
    <t>descripción</t>
  </si>
  <si>
    <t>Quien recibio</t>
  </si>
  <si>
    <t>cuando se entrego</t>
  </si>
  <si>
    <t>Quien entregó</t>
  </si>
  <si>
    <t>harakiri</t>
  </si>
  <si>
    <t>papi niki</t>
  </si>
  <si>
    <t>pagado</t>
  </si>
  <si>
    <t>bolsa kraft negra</t>
  </si>
  <si>
    <t>guido</t>
  </si>
  <si>
    <t>less</t>
  </si>
  <si>
    <t>alonso bustos</t>
  </si>
  <si>
    <t>por pagar 500</t>
  </si>
  <si>
    <t>mini bolsa blanca</t>
  </si>
  <si>
    <t>Memory Lab</t>
  </si>
  <si>
    <t>Alejandro Jara</t>
  </si>
  <si>
    <t>a3</t>
  </si>
  <si>
    <t>Paquete blanco con nombre</t>
  </si>
  <si>
    <t>Henry</t>
  </si>
  <si>
    <t>Rodrigo Basualto</t>
  </si>
  <si>
    <t xml:space="preserve">caja blanca </t>
  </si>
  <si>
    <t>Clau</t>
  </si>
  <si>
    <t>MemoryLab</t>
  </si>
  <si>
    <t>Claudia Cuevas</t>
  </si>
  <si>
    <t>paquete blanco</t>
  </si>
  <si>
    <t>Milen</t>
  </si>
  <si>
    <t>China</t>
  </si>
  <si>
    <t>B1</t>
  </si>
  <si>
    <t>paquete pequeño café</t>
  </si>
  <si>
    <t>memorylab</t>
  </si>
  <si>
    <t>montserrat Castro</t>
  </si>
  <si>
    <t>A1</t>
  </si>
  <si>
    <t>bolsa blanca papel</t>
  </si>
  <si>
    <t>LESS</t>
  </si>
  <si>
    <t>FABIAN SOLAR</t>
  </si>
  <si>
    <t>D1</t>
  </si>
  <si>
    <t>cartas en forro</t>
  </si>
  <si>
    <t>milton benavente</t>
  </si>
  <si>
    <t>d1</t>
  </si>
  <si>
    <t>Henry Constanmzo</t>
  </si>
  <si>
    <t>Pagado</t>
  </si>
  <si>
    <t>Caja forrada en bolsa roja</t>
  </si>
  <si>
    <t>José Huaiquipan</t>
  </si>
  <si>
    <t>Tras cortina abajo</t>
  </si>
  <si>
    <t>Caja de carton con nombre</t>
  </si>
  <si>
    <t>Eduardo Soto</t>
  </si>
  <si>
    <t>Victoria Aldana</t>
  </si>
  <si>
    <t>por pagar 1000</t>
  </si>
  <si>
    <t>a1</t>
  </si>
  <si>
    <t>Bolsa lineas celestes</t>
  </si>
  <si>
    <t>milen</t>
  </si>
  <si>
    <t>Carolina</t>
  </si>
  <si>
    <t>????</t>
  </si>
  <si>
    <t>C1</t>
  </si>
  <si>
    <t>kraft</t>
  </si>
  <si>
    <t>Losto</t>
  </si>
  <si>
    <t>Carla Fancelli</t>
  </si>
  <si>
    <t>ig betweenopal</t>
  </si>
  <si>
    <t>b2</t>
  </si>
  <si>
    <t>Papel de regalo blanco</t>
  </si>
  <si>
    <t>Stickyclau</t>
  </si>
  <si>
    <t>daniella Campos</t>
  </si>
  <si>
    <t>bolsa kraft chica</t>
  </si>
  <si>
    <t>yayo soto</t>
  </si>
  <si>
    <t>Sebastian Pradena</t>
  </si>
  <si>
    <t>Por pagar 500</t>
  </si>
  <si>
    <t>A2</t>
  </si>
  <si>
    <t>cajita</t>
  </si>
  <si>
    <t>MEMORYLAB</t>
  </si>
  <si>
    <t>LUIS QUEMENER</t>
  </si>
  <si>
    <t>PAGADO</t>
  </si>
  <si>
    <t>caja blanca</t>
  </si>
  <si>
    <t>martin guitierrez</t>
  </si>
  <si>
    <t>casa mark</t>
  </si>
  <si>
    <t>caja grande</t>
  </si>
  <si>
    <t>delisol</t>
  </si>
  <si>
    <t>priscila piedra</t>
  </si>
  <si>
    <t>ig pprixpiedra</t>
  </si>
  <si>
    <t>cortina</t>
  </si>
  <si>
    <t>kraft manillas</t>
  </si>
  <si>
    <t>romi</t>
  </si>
  <si>
    <t>teresa valenzuela</t>
  </si>
  <si>
    <t>ig teru_veg</t>
  </si>
  <si>
    <t>silvana tilleria</t>
  </si>
  <si>
    <t>ig silvana_francisca</t>
  </si>
  <si>
    <t>b1</t>
  </si>
  <si>
    <t>kraft chica</t>
  </si>
  <si>
    <t>nadia castro</t>
  </si>
  <si>
    <t>ig ca_fi54</t>
  </si>
  <si>
    <t>macarena marquez</t>
  </si>
  <si>
    <t>ig macakuky</t>
  </si>
  <si>
    <t>B3</t>
  </si>
  <si>
    <t>javiera urra</t>
  </si>
  <si>
    <t>ig javi_urra</t>
  </si>
  <si>
    <t>c2</t>
  </si>
  <si>
    <t xml:space="preserve">kraft manillas </t>
  </si>
  <si>
    <t>Romina Maldonado</t>
  </si>
  <si>
    <t>ig Tallercita</t>
  </si>
  <si>
    <t>Maria Paz</t>
  </si>
  <si>
    <t>ig mariapazitav</t>
  </si>
  <si>
    <t>Bolsa kraft</t>
  </si>
  <si>
    <t>Karina</t>
  </si>
  <si>
    <t>ig ninavaolve</t>
  </si>
  <si>
    <t>pagadp</t>
  </si>
  <si>
    <t>Bolsa kraft chiquita</t>
  </si>
  <si>
    <t>Joaquin Rebolledo</t>
  </si>
  <si>
    <t>Pagar 500</t>
  </si>
  <si>
    <t>A4</t>
  </si>
  <si>
    <t>Bolsa Negra</t>
  </si>
  <si>
    <t>Rodrígo López</t>
  </si>
  <si>
    <t>Bolsa negra envuelta</t>
  </si>
  <si>
    <t>ivanna sanchez</t>
  </si>
  <si>
    <t>@ivanna.roobles</t>
  </si>
  <si>
    <t>b4</t>
  </si>
  <si>
    <t>caja cafe mediana</t>
  </si>
  <si>
    <t>carlos</t>
  </si>
  <si>
    <t>Paula Albornoz</t>
  </si>
  <si>
    <t>totora albornoz</t>
  </si>
  <si>
    <t>bolsa kraft mediana</t>
  </si>
  <si>
    <t>paulina vallejos</t>
  </si>
  <si>
    <t>a2</t>
  </si>
  <si>
    <t>bolsa con manillas cafe</t>
  </si>
  <si>
    <t>02 anril</t>
  </si>
  <si>
    <t xml:space="preserve">romi </t>
  </si>
  <si>
    <t>.</t>
  </si>
  <si>
    <t>bruma</t>
  </si>
  <si>
    <t>sol motor instinto</t>
  </si>
  <si>
    <t>motorinstinto</t>
  </si>
  <si>
    <t xml:space="preserve">caja bajo escala </t>
  </si>
  <si>
    <t>bolsa kraft grande</t>
  </si>
  <si>
    <t>patricio toledo</t>
  </si>
  <si>
    <t>memory lab</t>
  </si>
  <si>
    <t xml:space="preserve">c1 </t>
  </si>
  <si>
    <t>bolsa kraft</t>
  </si>
  <si>
    <t>titeremania</t>
  </si>
  <si>
    <t>tamara vasquez</t>
  </si>
  <si>
    <t>jose landeros</t>
  </si>
  <si>
    <t>carlos pinto</t>
  </si>
  <si>
    <t>mauricio adlerstein</t>
  </si>
  <si>
    <t>florencia dominguez</t>
  </si>
  <si>
    <t>carolina silva</t>
  </si>
  <si>
    <t>c1</t>
  </si>
  <si>
    <t>fernanda neira</t>
  </si>
  <si>
    <t>errareshumano</t>
  </si>
  <si>
    <t>manillas</t>
  </si>
  <si>
    <t xml:space="preserve">paula diaz </t>
  </si>
  <si>
    <t>paula.idc</t>
  </si>
  <si>
    <t>stefania belen</t>
  </si>
  <si>
    <t>stefania_heggie</t>
  </si>
  <si>
    <t xml:space="preserve">numero </t>
  </si>
  <si>
    <t>estado</t>
  </si>
  <si>
    <t>SEBASTIAN BECERRA</t>
  </si>
  <si>
    <t>sebastian flores castillo</t>
  </si>
  <si>
    <t>17.347.693-0</t>
  </si>
  <si>
    <t>diario</t>
  </si>
  <si>
    <t>mariella cicarelli</t>
  </si>
  <si>
    <t>memory  lab</t>
  </si>
  <si>
    <t>pamela campos</t>
  </si>
  <si>
    <t>Hewnry</t>
  </si>
  <si>
    <t>Dylan V.</t>
  </si>
  <si>
    <t>kraft media plana</t>
  </si>
  <si>
    <t>Sofi</t>
  </si>
  <si>
    <t>lovelyjounguk</t>
  </si>
  <si>
    <t>kaft grandecita</t>
  </si>
  <si>
    <t>Melissa</t>
  </si>
  <si>
    <t>A3</t>
  </si>
  <si>
    <t>kraft grande</t>
  </si>
  <si>
    <t>Eskandra</t>
  </si>
  <si>
    <t>C2</t>
  </si>
  <si>
    <t>karft plano</t>
  </si>
  <si>
    <t>Titeremania</t>
  </si>
  <si>
    <t>Almendra fuentes</t>
  </si>
  <si>
    <t>por confirmar</t>
  </si>
  <si>
    <t>bolsa transparente</t>
  </si>
  <si>
    <t>ignacio garrido</t>
  </si>
  <si>
    <t>Memorylab</t>
  </si>
  <si>
    <t>casita mark</t>
  </si>
  <si>
    <t>Maria Cecilia</t>
  </si>
  <si>
    <t>Bichita</t>
  </si>
  <si>
    <t>Kraft grande</t>
  </si>
  <si>
    <t>america ayelen</t>
  </si>
  <si>
    <t>bolsa negra</t>
  </si>
  <si>
    <t>tenshii</t>
  </si>
  <si>
    <t>Fabian Reyes</t>
  </si>
  <si>
    <t>B2</t>
  </si>
  <si>
    <t>Carpeta morada (posters)</t>
  </si>
  <si>
    <t>losto</t>
  </si>
  <si>
    <t>nicolas moreno</t>
  </si>
  <si>
    <t>bolsa blanca</t>
  </si>
  <si>
    <t>abigail lisboa</t>
  </si>
  <si>
    <t>08//01</t>
  </si>
  <si>
    <t>clau</t>
  </si>
  <si>
    <t>benjamin</t>
  </si>
  <si>
    <t>@Ibenjamin_rb</t>
  </si>
  <si>
    <t>c3</t>
  </si>
  <si>
    <t>sofi</t>
  </si>
  <si>
    <t>@antropofoobia</t>
  </si>
  <si>
    <t>carlso</t>
  </si>
  <si>
    <t>claudia correa</t>
  </si>
  <si>
    <t>@howpoetry_</t>
  </si>
  <si>
    <t>bajo note</t>
  </si>
  <si>
    <t>diego rojas</t>
  </si>
  <si>
    <t>@paulapaz.s</t>
  </si>
  <si>
    <t>bolsa kraft bruma mediana</t>
  </si>
  <si>
    <t>kathy</t>
  </si>
  <si>
    <t>@_.kkty._</t>
  </si>
  <si>
    <t>por pagar 22000</t>
  </si>
  <si>
    <t>isi ortega</t>
  </si>
  <si>
    <t>@isis.orteg_</t>
  </si>
  <si>
    <t>carlos valenzuela</t>
  </si>
  <si>
    <t>caja blanca grande</t>
  </si>
  <si>
    <t>tenshi</t>
  </si>
  <si>
    <t>valentina kim</t>
  </si>
  <si>
    <t>slam dunk</t>
  </si>
  <si>
    <t>nicolas naredo</t>
  </si>
  <si>
    <t>amaro gonzales</t>
  </si>
  <si>
    <t>tubo</t>
  </si>
  <si>
    <t>paula</t>
  </si>
  <si>
    <t>priquel</t>
  </si>
  <si>
    <t>kfraft cafe</t>
  </si>
  <si>
    <t>caro</t>
  </si>
  <si>
    <t>caro.vms</t>
  </si>
  <si>
    <t>kraft cafe</t>
  </si>
  <si>
    <t>menor</t>
  </si>
  <si>
    <t>cesar alfredo</t>
  </si>
  <si>
    <t>cesar_alfredo</t>
  </si>
  <si>
    <t>yogui</t>
  </si>
  <si>
    <t>kraft blanca</t>
  </si>
  <si>
    <t>saihou</t>
  </si>
  <si>
    <t>epoxxyaccesorios</t>
  </si>
  <si>
    <t>Ester Muñoz</t>
  </si>
  <si>
    <t>bolsa craft cafe</t>
  </si>
  <si>
    <t>María Jesús</t>
  </si>
  <si>
    <t>@_marii.gt</t>
  </si>
  <si>
    <t>Bolsa craft cafe</t>
  </si>
  <si>
    <t xml:space="preserve">Pola </t>
  </si>
  <si>
    <t>@moonyvani</t>
  </si>
  <si>
    <t>Bruma</t>
  </si>
  <si>
    <t>Fernanda neira castillo</t>
  </si>
  <si>
    <t>ig errareshumanoo</t>
  </si>
  <si>
    <t xml:space="preserve">Brenda </t>
  </si>
  <si>
    <t>@brendalabin</t>
  </si>
  <si>
    <t>Jani</t>
  </si>
  <si>
    <t>bolsa blanca milen</t>
  </si>
  <si>
    <t>@moorfygx_marti</t>
  </si>
  <si>
    <t xml:space="preserve">bolsa papel </t>
  </si>
  <si>
    <t xml:space="preserve">yisela llanos </t>
  </si>
  <si>
    <t>Memory lab</t>
  </si>
  <si>
    <t>caja negra</t>
  </si>
  <si>
    <t>antonia paz castillo garrido</t>
  </si>
  <si>
    <t>sobre blanco</t>
  </si>
  <si>
    <t>carolina parra</t>
  </si>
  <si>
    <t>caja envuelta en hojas blancas</t>
  </si>
  <si>
    <t>maria trinidad (madre)</t>
  </si>
  <si>
    <t>bajo escalera</t>
  </si>
  <si>
    <t>bruma taller</t>
  </si>
  <si>
    <t>natalia salazar</t>
  </si>
  <si>
    <t>bolsa gigante</t>
  </si>
  <si>
    <t>alejandro jara</t>
  </si>
  <si>
    <t>bolsa kraft enrollada</t>
  </si>
  <si>
    <t>nicolas sepulveda</t>
  </si>
  <si>
    <t>bolsita blanca</t>
  </si>
  <si>
    <t>tobal schmidt</t>
  </si>
  <si>
    <t>yisela llanos</t>
  </si>
  <si>
    <t>Melissa Saragosa</t>
  </si>
  <si>
    <t>tras cortina</t>
  </si>
  <si>
    <t>caja grande blanca en caja plastica</t>
  </si>
  <si>
    <t>Sergio Velasquez</t>
  </si>
  <si>
    <t>bolsita café chica</t>
  </si>
  <si>
    <t>Stickyclaudia</t>
  </si>
  <si>
    <t>makkiclub</t>
  </si>
  <si>
    <t>Bolsa café</t>
  </si>
  <si>
    <t>bastian zurita</t>
  </si>
  <si>
    <t>ambar cris correa</t>
  </si>
  <si>
    <t>por pagar</t>
  </si>
  <si>
    <t>Sticky Clau</t>
  </si>
  <si>
    <t>Isi Hevia</t>
  </si>
  <si>
    <t>Bolsá café sticker de navidad</t>
  </si>
  <si>
    <t>hector coloma</t>
  </si>
  <si>
    <t>Caja tas cortina</t>
  </si>
  <si>
    <t>caja cafe</t>
  </si>
  <si>
    <t>Se me olvidó jeje</t>
  </si>
  <si>
    <t>sergio velasquez</t>
  </si>
  <si>
    <t>caja tas cortina</t>
  </si>
  <si>
    <t>cajita blanca</t>
  </si>
  <si>
    <t>Paulina Jara</t>
  </si>
  <si>
    <t>Camila González</t>
  </si>
  <si>
    <t>ig cami_ramis</t>
  </si>
  <si>
    <t>Kraft</t>
  </si>
  <si>
    <t>23 ENER</t>
  </si>
  <si>
    <t>Natalia MArisol</t>
  </si>
  <si>
    <t>ig natiilokilla</t>
  </si>
  <si>
    <t>ingrid puentes</t>
  </si>
  <si>
    <t>Bolsa verde</t>
  </si>
  <si>
    <t>pajarera</t>
  </si>
  <si>
    <t>ricardo espinoza</t>
  </si>
  <si>
    <t>bolsita chica con tiritas</t>
  </si>
  <si>
    <t>ig errareshumano</t>
  </si>
  <si>
    <t>bolsa grandee</t>
  </si>
  <si>
    <t>ERICA BERNALES</t>
  </si>
  <si>
    <t>sticky clau</t>
  </si>
  <si>
    <t>alex</t>
  </si>
  <si>
    <t>ig zmiaou</t>
  </si>
  <si>
    <t>pagado *puede escoger estuche</t>
  </si>
  <si>
    <t>escalera</t>
  </si>
  <si>
    <t>mochila</t>
  </si>
  <si>
    <t>stickyclau</t>
  </si>
  <si>
    <t>scarlett</t>
  </si>
  <si>
    <t>bolsa craft</t>
  </si>
  <si>
    <t>Alvaro Beltran</t>
  </si>
  <si>
    <t>Bolsita chica café</t>
  </si>
  <si>
    <t>Pajarera</t>
  </si>
  <si>
    <t>Antonella Cruz</t>
  </si>
  <si>
    <t>Bolsita pequeña cuadrada con manilla cafe</t>
  </si>
  <si>
    <t>josefa trinidad</t>
  </si>
  <si>
    <t>jo_villana</t>
  </si>
  <si>
    <t>loreto gonzales</t>
  </si>
  <si>
    <t>b3</t>
  </si>
  <si>
    <t>paula varas</t>
  </si>
  <si>
    <t>Paloma</t>
  </si>
  <si>
    <t>Camila</t>
  </si>
  <si>
    <t>words.inbold</t>
  </si>
  <si>
    <t>genaro arros</t>
  </si>
  <si>
    <t>bolsa plastica</t>
  </si>
  <si>
    <t>juan miranda</t>
  </si>
  <si>
    <t>Hector Coloma</t>
  </si>
  <si>
    <t xml:space="preserve">pagado </t>
  </si>
  <si>
    <t>Caja blanca grande</t>
  </si>
  <si>
    <t>Guido</t>
  </si>
  <si>
    <t>Cristobal Bustos</t>
  </si>
  <si>
    <t>mr.cris._</t>
  </si>
  <si>
    <t>Dulce Secreto</t>
  </si>
  <si>
    <t>dulcesecreto</t>
  </si>
  <si>
    <t>manuel simpson</t>
  </si>
  <si>
    <t>bpñsa kraft</t>
  </si>
  <si>
    <t>Caja blanca</t>
  </si>
  <si>
    <t>Duplicado</t>
  </si>
  <si>
    <t>Luis Quemener</t>
  </si>
  <si>
    <t>Tras Cortina</t>
  </si>
  <si>
    <t>Bolsita Manilla Café</t>
  </si>
  <si>
    <t>Hector nicolás</t>
  </si>
  <si>
    <t>bolsa cafe</t>
  </si>
  <si>
    <t>Barbara molina</t>
  </si>
  <si>
    <t>págado</t>
  </si>
  <si>
    <t>Ternuroides</t>
  </si>
  <si>
    <t>Francisco Hernandez</t>
  </si>
  <si>
    <t>bolsa café con nombre</t>
  </si>
  <si>
    <t>anna gimona</t>
  </si>
  <si>
    <t>bolsa plateada</t>
  </si>
  <si>
    <t>hello_caro1</t>
  </si>
  <si>
    <t>isi hevia</t>
  </si>
  <si>
    <t>diego</t>
  </si>
  <si>
    <t>javi</t>
  </si>
  <si>
    <t>javissepu</t>
  </si>
  <si>
    <t>cata</t>
  </si>
  <si>
    <t>_d4rkcharry</t>
  </si>
  <si>
    <t>natalie aguilera</t>
  </si>
  <si>
    <t>paula henriquez</t>
  </si>
  <si>
    <t>06 geb</t>
  </si>
  <si>
    <t>tere villareal</t>
  </si>
  <si>
    <t>bolcita con manillas</t>
  </si>
  <si>
    <t>04 deb</t>
  </si>
  <si>
    <t>Dani</t>
  </si>
  <si>
    <t>Abbi</t>
  </si>
  <si>
    <t>valentina echeverria</t>
  </si>
  <si>
    <t>estefania melo</t>
  </si>
  <si>
    <t>bolsa regalo</t>
  </si>
  <si>
    <t>luis quemener</t>
  </si>
  <si>
    <t>cuadro blanco</t>
  </si>
  <si>
    <t>Bolsa Café con nombre</t>
  </si>
  <si>
    <t>Macarena Torres</t>
  </si>
  <si>
    <t>Bolsa café con nombre</t>
  </si>
  <si>
    <t>Badtrip (Atendido por insta)</t>
  </si>
  <si>
    <t>Victor Laurence</t>
  </si>
  <si>
    <t>Por pagar 11.000</t>
  </si>
  <si>
    <t>Bolsita blanca chiquita</t>
  </si>
  <si>
    <t>eduardo solo</t>
  </si>
  <si>
    <t>ig yayoisdead</t>
  </si>
  <si>
    <t>lisandra jaramillo</t>
  </si>
  <si>
    <t>bolsa regalo flores</t>
  </si>
  <si>
    <t>henry willians</t>
  </si>
  <si>
    <t xml:space="preserve">bolsa tela roja </t>
  </si>
  <si>
    <t>soledad parra</t>
  </si>
  <si>
    <t>a4</t>
  </si>
  <si>
    <t>bolsa plastico rosada</t>
  </si>
  <si>
    <t>henry</t>
  </si>
  <si>
    <t>simona isidora</t>
  </si>
  <si>
    <t>MAry</t>
  </si>
  <si>
    <t>ig lenafabres</t>
  </si>
  <si>
    <t xml:space="preserve">leyla </t>
  </si>
  <si>
    <t>ig fixingivy</t>
  </si>
  <si>
    <t>bolsa negra tela</t>
  </si>
  <si>
    <t>?</t>
  </si>
  <si>
    <t>caja forrada blanco</t>
  </si>
  <si>
    <t>yuni</t>
  </si>
  <si>
    <t>Bolsita café milen</t>
  </si>
  <si>
    <t xml:space="preserve">diego </t>
  </si>
  <si>
    <t>rodrigo basualto</t>
  </si>
  <si>
    <t>DIEGO</t>
  </si>
  <si>
    <t>Vania</t>
  </si>
  <si>
    <t>vvniv</t>
  </si>
  <si>
    <t>Kraft mediana</t>
  </si>
  <si>
    <t>melissa8th</t>
  </si>
  <si>
    <t>CLAU</t>
  </si>
  <si>
    <t>Catalina</t>
  </si>
  <si>
    <t>_guti_</t>
  </si>
  <si>
    <t>Angela</t>
  </si>
  <si>
    <t>C3</t>
  </si>
  <si>
    <t>bolsas blancas (las 2 bolsas)</t>
  </si>
  <si>
    <t>Emy Aguayo</t>
  </si>
  <si>
    <t>bolsa grande y pesada</t>
  </si>
  <si>
    <t>DELISOL SOLANGE</t>
  </si>
  <si>
    <t>PAULINA ALMENDRA</t>
  </si>
  <si>
    <t>caja kraft</t>
  </si>
  <si>
    <t>ANAIS NIGUERAS</t>
  </si>
  <si>
    <t>VALENTINA LEON</t>
  </si>
  <si>
    <t>MACARENA LANDEROS</t>
  </si>
  <si>
    <t>ESTEFANY NAVARRETE</t>
  </si>
  <si>
    <t>SOFIA SUAREZ</t>
  </si>
  <si>
    <t>D3</t>
  </si>
  <si>
    <t>ARACELI PINTO</t>
  </si>
  <si>
    <t>TAMARA MOLINA</t>
  </si>
  <si>
    <t>PIA VARGAS</t>
  </si>
  <si>
    <t>leon</t>
  </si>
  <si>
    <t xml:space="preserve">@repolloconmaruchan </t>
  </si>
  <si>
    <t>kitty</t>
  </si>
  <si>
    <t>Pablo Uauy</t>
  </si>
  <si>
    <t>bolsa kraft del 4to</t>
  </si>
  <si>
    <t>Casa mark</t>
  </si>
  <si>
    <t>caja blanca mediana</t>
  </si>
  <si>
    <t>pablo uauy</t>
  </si>
  <si>
    <t>kito</t>
  </si>
  <si>
    <t>fraft</t>
  </si>
  <si>
    <t>Genaro Arros</t>
  </si>
  <si>
    <t>Cajita blanca</t>
  </si>
  <si>
    <t xml:space="preserve">Lau </t>
  </si>
  <si>
    <t>Bolsa Blanca Milen</t>
  </si>
  <si>
    <t>Tenshii</t>
  </si>
  <si>
    <t>Yass</t>
  </si>
  <si>
    <t>@yasswhoo</t>
  </si>
  <si>
    <t>Bolsita</t>
  </si>
  <si>
    <t>Ignacio</t>
  </si>
  <si>
    <t>Por pagar 24.000</t>
  </si>
  <si>
    <t>Daniella Campos</t>
  </si>
  <si>
    <t>Bolsa Café</t>
  </si>
  <si>
    <t>mauricio A</t>
  </si>
  <si>
    <t>Ileana Hernandez</t>
  </si>
  <si>
    <t>Gabriela</t>
  </si>
  <si>
    <t>ig menta_canela</t>
  </si>
  <si>
    <t>Bolsa Blanca</t>
  </si>
  <si>
    <t>Bruma Taller</t>
  </si>
  <si>
    <t>ig noidealicebodymod</t>
  </si>
  <si>
    <t>Bolsa grande Café con Numero 3</t>
  </si>
  <si>
    <t xml:space="preserve">josé hernández </t>
  </si>
  <si>
    <t>bolsa grande cafe</t>
  </si>
  <si>
    <t>blanca</t>
  </si>
  <si>
    <t>bolsa cafe delgada</t>
  </si>
  <si>
    <t>paulina</t>
  </si>
  <si>
    <t>bolsa cafe mediana</t>
  </si>
  <si>
    <t>claudia cuevas</t>
  </si>
  <si>
    <t>cd bolsita plastica</t>
  </si>
  <si>
    <t>juan escobar</t>
  </si>
  <si>
    <t>Victor Herrera</t>
  </si>
  <si>
    <t>Carpeta Pokemon en bolsa transparente</t>
  </si>
  <si>
    <t>Florerito de mesa</t>
  </si>
  <si>
    <t>Daniel Inostroza</t>
  </si>
  <si>
    <t>vale vega</t>
  </si>
  <si>
    <t>bolsa milen</t>
  </si>
  <si>
    <t>maria jesus</t>
  </si>
  <si>
    <t>supongo que se entregó xq no está</t>
  </si>
  <si>
    <t>Por Confirmar</t>
  </si>
  <si>
    <t>retirado</t>
  </si>
  <si>
    <t>catalina</t>
  </si>
  <si>
    <t>ig cata_soledad</t>
  </si>
  <si>
    <t>mari andrea</t>
  </si>
  <si>
    <t>Jois</t>
  </si>
  <si>
    <t>A5</t>
  </si>
  <si>
    <t>Alejandro Gallardo</t>
  </si>
  <si>
    <t>ig __sa.shit</t>
  </si>
  <si>
    <t>Tras cortina</t>
  </si>
  <si>
    <t>Bolsa grande café con numero 1</t>
  </si>
  <si>
    <t>Carlos Charly</t>
  </si>
  <si>
    <t>Bolsa Blanquita</t>
  </si>
  <si>
    <t>carolina abello</t>
  </si>
  <si>
    <t>bolsa plastica gris</t>
  </si>
  <si>
    <t>solange veloso</t>
  </si>
  <si>
    <t>javiera muñoz</t>
  </si>
  <si>
    <t>ig otravezmama_</t>
  </si>
  <si>
    <t xml:space="preserve">caja </t>
  </si>
  <si>
    <t>constanza</t>
  </si>
  <si>
    <t>ig _conimolina</t>
  </si>
  <si>
    <t>papel bonito</t>
  </si>
  <si>
    <t>veronica parede</t>
  </si>
  <si>
    <t>maria cecilia bichita</t>
  </si>
  <si>
    <t>kevin</t>
  </si>
  <si>
    <t>por pagar 15 mil</t>
  </si>
  <si>
    <t>???</t>
  </si>
  <si>
    <t>??</t>
  </si>
  <si>
    <t>ren1</t>
  </si>
  <si>
    <t>bolsita kraft</t>
  </si>
  <si>
    <t>dayan</t>
  </si>
  <si>
    <t>carpeta</t>
  </si>
  <si>
    <t>fernanada</t>
  </si>
  <si>
    <t>fernandamatt</t>
  </si>
  <si>
    <t>@vida.rosapastel</t>
  </si>
  <si>
    <t>eduardo soto</t>
  </si>
  <si>
    <t>matias ruiz</t>
  </si>
  <si>
    <t>yayoisdead</t>
  </si>
  <si>
    <t>por pagare</t>
  </si>
  <si>
    <t>bolsa con manilla y scotch</t>
  </si>
  <si>
    <t>Mauricio A</t>
  </si>
  <si>
    <t>bolsa kraft del local</t>
  </si>
  <si>
    <t>Francisca Cantero</t>
  </si>
  <si>
    <t>por pagar 18.000</t>
  </si>
  <si>
    <t>Belen</t>
  </si>
  <si>
    <t>ig eskapula</t>
  </si>
  <si>
    <t>mochila suelta</t>
  </si>
  <si>
    <t>Lau argomedo</t>
  </si>
  <si>
    <t>Feña Revedecer*</t>
  </si>
  <si>
    <t>Cami</t>
  </si>
  <si>
    <t>Devuelto a Milen</t>
  </si>
  <si>
    <t>Claudia Zapata</t>
  </si>
  <si>
    <t>Patty Orellana</t>
  </si>
  <si>
    <t>Karen</t>
  </si>
  <si>
    <t>Bolsa blanca</t>
  </si>
  <si>
    <t>Ma Jose Maldonado</t>
  </si>
  <si>
    <t>Coni Escobedo</t>
  </si>
  <si>
    <t>eliette_angele</t>
  </si>
  <si>
    <t>bolsa con manilla</t>
  </si>
  <si>
    <t>Claudia Toro</t>
  </si>
  <si>
    <t>macarena toro</t>
  </si>
  <si>
    <t>macarematoroe</t>
  </si>
  <si>
    <t>bolsa navidad blanca</t>
  </si>
  <si>
    <t>nathalir carrasco</t>
  </si>
  <si>
    <t>natha.hunter</t>
  </si>
  <si>
    <t>pia seguel</t>
  </si>
  <si>
    <t>sgl.pia</t>
  </si>
  <si>
    <t>monserrat castro</t>
  </si>
  <si>
    <t>bolsa papel blanca</t>
  </si>
  <si>
    <t>Caro N.V</t>
  </si>
  <si>
    <t>Leslyee</t>
  </si>
  <si>
    <t>leyslyeegutierrez</t>
  </si>
  <si>
    <t>crinet gallegos</t>
  </si>
  <si>
    <t>cnto88</t>
  </si>
  <si>
    <t>stay_medicated_ccp</t>
  </si>
  <si>
    <t>memory labs</t>
  </si>
  <si>
    <t>Gonzalo Moraga</t>
  </si>
  <si>
    <t>caja grande. tras cortina</t>
  </si>
  <si>
    <t>retirados x memory</t>
  </si>
  <si>
    <t>johanna cuevas</t>
  </si>
  <si>
    <t>cajita kraft chica</t>
  </si>
  <si>
    <t>juan maraboli</t>
  </si>
  <si>
    <t>caja doble kraft</t>
  </si>
  <si>
    <t>Constanza Rocio Fernanda Tapia</t>
  </si>
  <si>
    <t>Bolsa grande</t>
  </si>
  <si>
    <t>wiyu</t>
  </si>
  <si>
    <t>fernanda</t>
  </si>
  <si>
    <t>@ferr.rr</t>
  </si>
  <si>
    <t>dan</t>
  </si>
  <si>
    <t>melissa benitez</t>
  </si>
  <si>
    <t>Montserrat Sanhueza</t>
  </si>
  <si>
    <t>bolsa blanca chica</t>
  </si>
  <si>
    <t>romi maldonado</t>
  </si>
  <si>
    <t>tallercita</t>
  </si>
  <si>
    <t>stephanie muñoz</t>
  </si>
  <si>
    <t>eduardo soto saez</t>
  </si>
  <si>
    <t>yanira fernandez</t>
  </si>
  <si>
    <t>yaniranice</t>
  </si>
  <si>
    <t>dulcesecret0</t>
  </si>
  <si>
    <t>jose delgado</t>
  </si>
  <si>
    <t>jose huaquipan</t>
  </si>
  <si>
    <t>oscar castillo</t>
  </si>
  <si>
    <t>carpeta morada</t>
  </si>
  <si>
    <t>Daniel Zarate</t>
  </si>
  <si>
    <t>Bolsa café - Lote cartas yugi</t>
  </si>
  <si>
    <t>Maria Esperanza</t>
  </si>
  <si>
    <t>bolsa café</t>
  </si>
  <si>
    <t>Fran Ignacia</t>
  </si>
  <si>
    <t>H</t>
  </si>
  <si>
    <t>Isidora</t>
  </si>
  <si>
    <t>@_oyeisidora</t>
  </si>
  <si>
    <t>Carolina Abello</t>
  </si>
  <si>
    <t>@natslauap</t>
  </si>
  <si>
    <t>bolsa café sticker cariñosito</t>
  </si>
  <si>
    <t>Vicente Jaramillo</t>
  </si>
  <si>
    <t>ad1crs</t>
  </si>
  <si>
    <t>Gianina Bastidas</t>
  </si>
  <si>
    <t>gianninabastidas</t>
  </si>
  <si>
    <t>_Henry</t>
  </si>
  <si>
    <t>Denisse Canales</t>
  </si>
  <si>
    <t>denicanales_</t>
  </si>
  <si>
    <t>calendario</t>
  </si>
  <si>
    <t>Gloria Carillo</t>
  </si>
  <si>
    <t>bolsa morada</t>
  </si>
  <si>
    <t>jorge Novoa</t>
  </si>
  <si>
    <t>bolsa kraft con manillas</t>
  </si>
  <si>
    <t>ig b0mb.devil</t>
  </si>
  <si>
    <t>por pagar 23000</t>
  </si>
  <si>
    <t>Bolsa kraft mediana</t>
  </si>
  <si>
    <t>Mauricio Adlerstein</t>
  </si>
  <si>
    <t xml:space="preserve">yasna mardones </t>
  </si>
  <si>
    <t>CASA mark</t>
  </si>
  <si>
    <t>BOLSA KRAFT</t>
  </si>
  <si>
    <t>jaime</t>
  </si>
  <si>
    <t>bolsa flaite</t>
  </si>
  <si>
    <t>Henry Constanzo</t>
  </si>
  <si>
    <t>bolsa trasparente</t>
  </si>
  <si>
    <t>ignacia moreno</t>
  </si>
  <si>
    <t>ig __.v1no</t>
  </si>
  <si>
    <t>krsft gigante</t>
  </si>
  <si>
    <t>martin gutierrez</t>
  </si>
  <si>
    <t>rodrigo tapia</t>
  </si>
  <si>
    <t>bolsa roja</t>
  </si>
  <si>
    <t>Jorge Novoa Salgado</t>
  </si>
  <si>
    <t>Rodrigo Tapia</t>
  </si>
  <si>
    <t>Bosla trasparente</t>
  </si>
  <si>
    <t>gloria carrillo</t>
  </si>
  <si>
    <t>caja forrada en blanco</t>
  </si>
  <si>
    <t>catalina ojeda</t>
  </si>
  <si>
    <t>bolsa con chilco</t>
  </si>
  <si>
    <t>dimedeminomas</t>
  </si>
  <si>
    <t>tras cortina abajo</t>
  </si>
  <si>
    <t>luis quimener</t>
  </si>
  <si>
    <t>cassettes</t>
  </si>
  <si>
    <t>Saihou</t>
  </si>
  <si>
    <t>bazar del oso</t>
  </si>
  <si>
    <t>Fernanda Neira</t>
  </si>
  <si>
    <t>Bolsa kraft grande</t>
  </si>
  <si>
    <t>Victoria</t>
  </si>
  <si>
    <t>auttumnns</t>
  </si>
  <si>
    <t xml:space="preserve"> Paulina Bustos</t>
  </si>
  <si>
    <t>meyenastir</t>
  </si>
  <si>
    <t>Bolsa papel regalo blanco</t>
  </si>
  <si>
    <t>Lucien</t>
  </si>
  <si>
    <t>bolsa chicas superpoderorsas</t>
  </si>
  <si>
    <t>Carpeta</t>
  </si>
  <si>
    <t>Delisol_ccp</t>
  </si>
  <si>
    <t>Victoria Villalobos</t>
  </si>
  <si>
    <t>ig victoria_vicky_villalobos</t>
  </si>
  <si>
    <t>Caja Grande con Galletas</t>
  </si>
  <si>
    <t>Noi</t>
  </si>
  <si>
    <t>Bolsita pequeña con monitos</t>
  </si>
  <si>
    <t>cristian muñoz</t>
  </si>
  <si>
    <t>bolsa grande lider</t>
  </si>
  <si>
    <t>ig cntbgg</t>
  </si>
  <si>
    <t>angela araya</t>
  </si>
  <si>
    <t>ig angelaarayac</t>
  </si>
  <si>
    <t>javiera salgado</t>
  </si>
  <si>
    <t>cris chavez rojas</t>
  </si>
  <si>
    <t>bolsa tela azul</t>
  </si>
  <si>
    <t>por pagar 5mil</t>
  </si>
  <si>
    <t>José Concha</t>
  </si>
  <si>
    <t>pelao</t>
  </si>
  <si>
    <t>Por pagar 1000</t>
  </si>
  <si>
    <t>Yunitza</t>
  </si>
  <si>
    <t>Bolsa blanca milen</t>
  </si>
  <si>
    <t>Francisco Ahumada</t>
  </si>
  <si>
    <t>ig ronin.f.222</t>
  </si>
  <si>
    <t>Calendario tigre</t>
  </si>
  <si>
    <t>Antonia Salazar</t>
  </si>
  <si>
    <t>Javiera Ortiz</t>
  </si>
  <si>
    <t>bolsa kraft sticker 4to</t>
  </si>
  <si>
    <t>hector soto</t>
  </si>
  <si>
    <t>kraft atras cortina</t>
  </si>
  <si>
    <t>isidora gutierrez</t>
  </si>
  <si>
    <t>caja bajo escalera</t>
  </si>
  <si>
    <t>Meli</t>
  </si>
  <si>
    <t>retirado 23 mar</t>
  </si>
  <si>
    <t>sebastian alvarado</t>
  </si>
  <si>
    <t>bolsita plana atras cortina</t>
  </si>
  <si>
    <t>scarlette avello</t>
  </si>
  <si>
    <t>Eduardo Monsalve</t>
  </si>
  <si>
    <t>bolsa salmón</t>
  </si>
  <si>
    <t>Antonia Hidalgo</t>
  </si>
  <si>
    <t>Carpeta morada</t>
  </si>
  <si>
    <t>osciel bravo</t>
  </si>
  <si>
    <t>padme_panic</t>
  </si>
  <si>
    <t>felipe</t>
  </si>
  <si>
    <t>michelle fernandez</t>
  </si>
  <si>
    <t>Dani M Valenzuela</t>
  </si>
  <si>
    <t>bolsa kraft plana</t>
  </si>
  <si>
    <t>Marcel(?? Biaggini</t>
  </si>
  <si>
    <t>B4</t>
  </si>
  <si>
    <t>Caja</t>
  </si>
  <si>
    <t>Moka</t>
  </si>
  <si>
    <t>bolsa blanca del 4to</t>
  </si>
  <si>
    <t>sobre blanco cd</t>
  </si>
  <si>
    <t>solange nelisol</t>
  </si>
  <si>
    <t>marcela alvial</t>
  </si>
  <si>
    <t>CAJA</t>
  </si>
  <si>
    <t>CARLOS PINTO</t>
  </si>
  <si>
    <t>KRAFT</t>
  </si>
  <si>
    <t>FELIPE SOTO</t>
  </si>
  <si>
    <t>GLORIA  JARA</t>
  </si>
  <si>
    <t>BOLSA PLASTICA</t>
  </si>
  <si>
    <t>claudia toro</t>
  </si>
  <si>
    <t>daniel salazar</t>
  </si>
  <si>
    <t>12971321-8</t>
  </si>
  <si>
    <t>era para memorylab</t>
  </si>
  <si>
    <t>catalina yevenes</t>
  </si>
  <si>
    <t>ig yevenescata</t>
  </si>
  <si>
    <t>javier fuentes</t>
  </si>
  <si>
    <t>ig javierfuentessalgado</t>
  </si>
  <si>
    <t>paula daroch</t>
  </si>
  <si>
    <t>ig paula daroch</t>
  </si>
  <si>
    <t>caja plastica</t>
  </si>
  <si>
    <t>florencia lagos</t>
  </si>
  <si>
    <t>estefania palma</t>
  </si>
  <si>
    <t>ig estefania_palma</t>
  </si>
  <si>
    <t>jasna nuñez</t>
  </si>
  <si>
    <t>igjassnarnarina</t>
  </si>
  <si>
    <t>fernanda henriquez</t>
  </si>
  <si>
    <t>ig _fer_16._</t>
  </si>
  <si>
    <t>nicolas torres</t>
  </si>
  <si>
    <t>ig nicotorresi</t>
  </si>
  <si>
    <t>caja carton</t>
  </si>
  <si>
    <t>claudia maldonado</t>
  </si>
  <si>
    <t>ig claudia_rejan</t>
  </si>
  <si>
    <t>nidia smith</t>
  </si>
  <si>
    <t>ig roperito_marianita</t>
  </si>
  <si>
    <t>......</t>
  </si>
  <si>
    <t>rocio palomo</t>
  </si>
  <si>
    <t>ig rocio_palomo</t>
  </si>
  <si>
    <t>dominica ramos</t>
  </si>
  <si>
    <t>ig domiramos</t>
  </si>
  <si>
    <t>diana novoa</t>
  </si>
  <si>
    <t>ig dinovoat</t>
  </si>
  <si>
    <t>maria jose merino</t>
  </si>
  <si>
    <t>ig kottytamerino</t>
  </si>
  <si>
    <t>claudia vega</t>
  </si>
  <si>
    <t>ig vainilla_caramew</t>
  </si>
  <si>
    <t>romina riquelme</t>
  </si>
  <si>
    <t>ig rominariqulmet</t>
  </si>
  <si>
    <t>michelle orias</t>
  </si>
  <si>
    <t>ig michelita_orias</t>
  </si>
  <si>
    <t>loreto medina</t>
  </si>
  <si>
    <t>ig lore_meru</t>
  </si>
  <si>
    <t>claudia salazar</t>
  </si>
  <si>
    <t>ig priimose</t>
  </si>
  <si>
    <t>nicole quintana</t>
  </si>
  <si>
    <t>ig nicole_gabriela</t>
  </si>
  <si>
    <t>cochilates</t>
  </si>
  <si>
    <t>edgardo leal</t>
  </si>
  <si>
    <t>c4</t>
  </si>
  <si>
    <t>fernanda quintero</t>
  </si>
  <si>
    <t>ig fersiscr</t>
  </si>
  <si>
    <t>tatiana cuevas</t>
  </si>
  <si>
    <t>ig taty89_real</t>
  </si>
  <si>
    <t>ingrid basualto</t>
  </si>
  <si>
    <t>ig ifran_</t>
  </si>
  <si>
    <t>anita gonzales</t>
  </si>
  <si>
    <t>ig anitakaren_</t>
  </si>
  <si>
    <t xml:space="preserve">valentina galindo </t>
  </si>
  <si>
    <t>ig valegalindo_</t>
  </si>
  <si>
    <t>fabianna salamanca</t>
  </si>
  <si>
    <t>ig fabiannasalamanca</t>
  </si>
  <si>
    <t>sharon alarcon</t>
  </si>
  <si>
    <t>ig sharoncamila_</t>
  </si>
  <si>
    <t>daniela mora</t>
  </si>
  <si>
    <t>ig nico_aleem</t>
  </si>
  <si>
    <t xml:space="preserve">carla carmona </t>
  </si>
  <si>
    <t>ig carlali_carmona</t>
  </si>
  <si>
    <t>vanesa inzunza</t>
  </si>
  <si>
    <t>ig vane_ inzu</t>
  </si>
  <si>
    <t>fernanda hinojosa</t>
  </si>
  <si>
    <t>ig fernandahinojosa</t>
  </si>
  <si>
    <t>consuelo Sta Juana</t>
  </si>
  <si>
    <t>elizabeth lizzie reling</t>
  </si>
  <si>
    <t>Anaís Alfaro</t>
  </si>
  <si>
    <t>ig anan.wi</t>
  </si>
  <si>
    <t>Anaís Alvarez</t>
  </si>
  <si>
    <t>ig naniinfa</t>
  </si>
  <si>
    <t>Ayleen Fuentes</t>
  </si>
  <si>
    <t>21.385.034-2</t>
  </si>
  <si>
    <t>bolsita kraft chica</t>
  </si>
  <si>
    <t>Leslie</t>
  </si>
  <si>
    <t>ig mmoonchild_</t>
  </si>
  <si>
    <t>Bolsita plana kraft</t>
  </si>
  <si>
    <t>Angeles Machuca</t>
  </si>
  <si>
    <t>Bolsa café envuelta en rectangulo</t>
  </si>
  <si>
    <t>Jocelyn Hernández</t>
  </si>
  <si>
    <t>Caja Café nescafé</t>
  </si>
  <si>
    <t>Romina riquelme</t>
  </si>
  <si>
    <t>bolsa kraft pequeña</t>
  </si>
  <si>
    <t>melissa figueroa</t>
  </si>
  <si>
    <t>melisa figueroa</t>
  </si>
  <si>
    <t>@melissa.fd_</t>
  </si>
  <si>
    <t>al lado de escritorio</t>
  </si>
  <si>
    <t>2 bolsas cafe grandes amarradas por cinta rosa</t>
  </si>
  <si>
    <t>walter moreno</t>
  </si>
  <si>
    <t>morall.tattoo</t>
  </si>
  <si>
    <t>al lado escritorio</t>
  </si>
  <si>
    <t>cynthia morales</t>
  </si>
  <si>
    <t>ig cynthiamoralesaaraneda</t>
  </si>
  <si>
    <t>retirado por misma tienda</t>
  </si>
  <si>
    <t>darien aburto</t>
  </si>
  <si>
    <t>20.694.980-5</t>
  </si>
  <si>
    <t>caja pequeña</t>
  </si>
  <si>
    <t>entregado</t>
  </si>
  <si>
    <t xml:space="preserve">stickyclau </t>
  </si>
  <si>
    <t>leonel</t>
  </si>
  <si>
    <t>@leomengod</t>
  </si>
  <si>
    <t xml:space="preserve">bolsa Kraft chica </t>
  </si>
  <si>
    <t xml:space="preserve">Bernardita </t>
  </si>
  <si>
    <t>@bebookstagram</t>
  </si>
  <si>
    <t>bolsa blanca grande</t>
  </si>
  <si>
    <t>fabian</t>
  </si>
  <si>
    <t>@thegr8fito</t>
  </si>
  <si>
    <t>kraft debe $9000</t>
  </si>
  <si>
    <t>florencia d</t>
  </si>
  <si>
    <t>@flodominguezf</t>
  </si>
  <si>
    <t>barbara</t>
  </si>
  <si>
    <t>alejandra</t>
  </si>
  <si>
    <t>ma jose saavedra</t>
  </si>
  <si>
    <t>bolsa chica</t>
  </si>
  <si>
    <t>emilio</t>
  </si>
  <si>
    <t>@emilio1_sebass</t>
  </si>
  <si>
    <t>carolina</t>
  </si>
  <si>
    <t>@carobriceo</t>
  </si>
  <si>
    <t>paquete mediano</t>
  </si>
  <si>
    <t>ternuroides</t>
  </si>
  <si>
    <t>Melisa Bizama</t>
  </si>
  <si>
    <t>Por pagar 3mil</t>
  </si>
  <si>
    <t>Labubu Mini Amarillo</t>
  </si>
  <si>
    <t>Yuliana Paz</t>
  </si>
  <si>
    <t>Por pagar 12mil</t>
  </si>
  <si>
    <t>Labubu Celeste Gordito</t>
  </si>
  <si>
    <t>de vuelta a vitrina</t>
  </si>
  <si>
    <t xml:space="preserve">delia </t>
  </si>
  <si>
    <t>diego carrasco</t>
  </si>
  <si>
    <t>sol</t>
  </si>
  <si>
    <t>pagdo</t>
  </si>
  <si>
    <t>entregadp</t>
  </si>
  <si>
    <t>-</t>
  </si>
  <si>
    <t>fran</t>
  </si>
  <si>
    <t>@franignaciaa.-</t>
  </si>
  <si>
    <t>melissa bizama</t>
  </si>
  <si>
    <t>por pagar 10mil</t>
  </si>
  <si>
    <t>1 labubu amarillo</t>
  </si>
  <si>
    <t>jennifer</t>
  </si>
  <si>
    <t>27 enero 2025</t>
  </si>
  <si>
    <t>bolsa grande</t>
  </si>
  <si>
    <t>badtrip</t>
  </si>
  <si>
    <t>yazmin saes soto</t>
  </si>
  <si>
    <t>persona x</t>
  </si>
  <si>
    <t>carla baldevenito</t>
  </si>
  <si>
    <t>@ca_bandelvenito</t>
  </si>
  <si>
    <t>@mariandrea317</t>
  </si>
  <si>
    <t>karina</t>
  </si>
  <si>
    <t>@ninavaolve</t>
  </si>
  <si>
    <t>camilo corral</t>
  </si>
  <si>
    <t>paquete chico</t>
  </si>
  <si>
    <t>camitenshi</t>
  </si>
  <si>
    <t>paquete grande (casa mark)</t>
  </si>
  <si>
    <t xml:space="preserve">Sandra Camila </t>
  </si>
  <si>
    <t>@jomag_books</t>
  </si>
  <si>
    <t xml:space="preserve">Monserrat </t>
  </si>
  <si>
    <t>@pankeiii</t>
  </si>
  <si>
    <t xml:space="preserve">entregado </t>
  </si>
  <si>
    <t xml:space="preserve">Layla </t>
  </si>
  <si>
    <t>@dromiciopsgliroides</t>
  </si>
  <si>
    <t xml:space="preserve">Valentina Alfaro </t>
  </si>
  <si>
    <t>@_its_all_about_me</t>
  </si>
  <si>
    <t>victoria aldana</t>
  </si>
  <si>
    <t>19.436.832-1</t>
  </si>
  <si>
    <t xml:space="preserve">caja cuadrada </t>
  </si>
  <si>
    <t>Isaac</t>
  </si>
  <si>
    <t>@its_aisaac</t>
  </si>
  <si>
    <t>por pagar 2000</t>
  </si>
  <si>
    <t>nutria llavero cute</t>
  </si>
  <si>
    <t>agregó más cosas al pedido</t>
  </si>
  <si>
    <t>dani</t>
  </si>
  <si>
    <t>dany.dace</t>
  </si>
  <si>
    <t>bolsa kraft milen</t>
  </si>
  <si>
    <t>@yoguilambda</t>
  </si>
  <si>
    <t>paloma</t>
  </si>
  <si>
    <t>@bengala_en_altomar</t>
  </si>
  <si>
    <t>shannon jane</t>
  </si>
  <si>
    <t>@vanillabotany.</t>
  </si>
  <si>
    <t>diego hormazabal</t>
  </si>
  <si>
    <t>@diegaton</t>
  </si>
  <si>
    <t>dani carrasco</t>
  </si>
  <si>
    <t>@danicarrasco</t>
  </si>
  <si>
    <t>bolsa kraft manilla</t>
  </si>
  <si>
    <t>sue martinez</t>
  </si>
  <si>
    <t>@potatoes_with_cheese</t>
  </si>
  <si>
    <t>bolsa grande (casa mark)</t>
  </si>
  <si>
    <t>alejandra chavez</t>
  </si>
  <si>
    <t>@ale_chav_god</t>
  </si>
  <si>
    <t xml:space="preserve">bolsa negra </t>
  </si>
  <si>
    <t>Elaine</t>
  </si>
  <si>
    <t>@pleasurewithalex</t>
  </si>
  <si>
    <t>bolsa fraft mediana</t>
  </si>
  <si>
    <t>Mari Andrea</t>
  </si>
  <si>
    <t>Aaron</t>
  </si>
  <si>
    <t>@aaaroned</t>
  </si>
  <si>
    <t>Wiyu</t>
  </si>
  <si>
    <t>MArtina Zambrano</t>
  </si>
  <si>
    <t>antonia</t>
  </si>
  <si>
    <t>@anto.shofi.d</t>
  </si>
  <si>
    <t>Pilar</t>
  </si>
  <si>
    <t>@angemartinezsalas</t>
  </si>
  <si>
    <t>ana maria herrera</t>
  </si>
  <si>
    <t>9-92222544</t>
  </si>
  <si>
    <t>@Ninavaolve</t>
  </si>
  <si>
    <t>ternu</t>
  </si>
  <si>
    <t>ternuroido</t>
  </si>
  <si>
    <t>Agustina Valenzuela</t>
  </si>
  <si>
    <t>Niña que busca Sylvanian Blanco</t>
  </si>
  <si>
    <t>Gatito Blanco Persa Ryan</t>
  </si>
  <si>
    <t>ternuloco</t>
  </si>
  <si>
    <t>amin ali</t>
  </si>
  <si>
    <t xml:space="preserve">cris </t>
  </si>
  <si>
    <t>@criverosth</t>
  </si>
  <si>
    <t>amanda castro</t>
  </si>
  <si>
    <t>bolsa plastica bodoque</t>
  </si>
  <si>
    <t>bastian gallegos</t>
  </si>
  <si>
    <t>belen chanqueo</t>
  </si>
  <si>
    <t>lucas montoya</t>
  </si>
  <si>
    <t>sticky</t>
  </si>
  <si>
    <t>@zaplita</t>
  </si>
  <si>
    <t>emily valentina</t>
  </si>
  <si>
    <t>@rydercream69</t>
  </si>
  <si>
    <t>constanza vergara</t>
  </si>
  <si>
    <t>@cntzd</t>
  </si>
  <si>
    <t>pay salinas</t>
  </si>
  <si>
    <t>@pay.salinas.p</t>
  </si>
  <si>
    <t>mini labubu</t>
  </si>
  <si>
    <t>entrehado</t>
  </si>
  <si>
    <t>Nicole</t>
  </si>
  <si>
    <t>@nicole_ettiare</t>
  </si>
  <si>
    <t>bolsa kraft con sonny angel</t>
  </si>
  <si>
    <t>claudia ulloa</t>
  </si>
  <si>
    <t>camilo garces</t>
  </si>
  <si>
    <t>consuelo</t>
  </si>
  <si>
    <t>tote</t>
  </si>
  <si>
    <t>natsumi</t>
  </si>
  <si>
    <t>@tnoelia_</t>
  </si>
  <si>
    <t>pagad</t>
  </si>
  <si>
    <t>brocakochis</t>
  </si>
  <si>
    <t>invierno.nuclear</t>
  </si>
  <si>
    <t>@invierno.nuclear</t>
  </si>
  <si>
    <t>Pagina stickers</t>
  </si>
  <si>
    <t>bufu.chan</t>
  </si>
  <si>
    <t>@bufu.chan</t>
  </si>
  <si>
    <t>paqwuete pequeño</t>
  </si>
  <si>
    <t>@words.inbold</t>
  </si>
  <si>
    <t>sobre kraft plano</t>
  </si>
  <si>
    <t>natalia</t>
  </si>
  <si>
    <t>@eternos_plenilunios</t>
  </si>
  <si>
    <t>martin ruiz</t>
  </si>
  <si>
    <t>sin compromiso</t>
  </si>
  <si>
    <t>ambar chriz</t>
  </si>
  <si>
    <t>19.998.937/</t>
  </si>
  <si>
    <t>caja carton con scotch</t>
  </si>
  <si>
    <t xml:space="preserve">bemjamin paredes </t>
  </si>
  <si>
    <t>19.3909.149-2</t>
  </si>
  <si>
    <t>bolsa tela blanca</t>
  </si>
  <si>
    <t>eterea.manufactura</t>
  </si>
  <si>
    <t>@eterea.manufactura</t>
  </si>
  <si>
    <t>bolso grande +dar regalo estuche y monedero</t>
  </si>
  <si>
    <t>mia_mi_yazmin</t>
  </si>
  <si>
    <t>@mia_mi_yazmin</t>
  </si>
  <si>
    <t>mochila gengar +dar regalo estuche y monedero</t>
  </si>
  <si>
    <t>delory</t>
  </si>
  <si>
    <t>@delory2015</t>
  </si>
  <si>
    <t xml:space="preserve"> ternu</t>
  </si>
  <si>
    <t xml:space="preserve">betzabet </t>
  </si>
  <si>
    <t>@_ikigai.raison</t>
  </si>
  <si>
    <t xml:space="preserve">bolsa Kraft </t>
  </si>
  <si>
    <t xml:space="preserve">ternu </t>
  </si>
  <si>
    <t>Fernanda</t>
  </si>
  <si>
    <t>@ferrssantoss</t>
  </si>
  <si>
    <t>entregada cancelada</t>
  </si>
  <si>
    <t>Jose</t>
  </si>
  <si>
    <t>@josee_acv</t>
  </si>
  <si>
    <t>Alicia</t>
  </si>
  <si>
    <t>@mal_manufactura</t>
  </si>
  <si>
    <t>Ana</t>
  </si>
  <si>
    <t>@analogia.a</t>
  </si>
  <si>
    <t>Claudia Gonzalez</t>
  </si>
  <si>
    <t>@claudita_loretogh</t>
  </si>
  <si>
    <t>por pagar 14.000</t>
  </si>
  <si>
    <t>Ariadne</t>
  </si>
  <si>
    <t>@arihikary</t>
  </si>
  <si>
    <t>@cami.cosas</t>
  </si>
  <si>
    <t>@m4ripi_</t>
  </si>
  <si>
    <t>Paulina</t>
  </si>
  <si>
    <t>@paulinajarab</t>
  </si>
  <si>
    <t>Daniela</t>
  </si>
  <si>
    <t>@dani_lmz46</t>
  </si>
  <si>
    <t>Annais</t>
  </si>
  <si>
    <t>@annais_G</t>
  </si>
  <si>
    <t>Isi</t>
  </si>
  <si>
    <t>isi.alonsor</t>
  </si>
  <si>
    <t>Thania</t>
  </si>
  <si>
    <t>lunabelt_</t>
  </si>
  <si>
    <t>entrega cancelada</t>
  </si>
  <si>
    <t>Marlis</t>
  </si>
  <si>
    <t>marlis.nmb</t>
  </si>
  <si>
    <t>danimoonreads</t>
  </si>
  <si>
    <t>anto</t>
  </si>
  <si>
    <t>lit_abpr</t>
  </si>
  <si>
    <t>Anto</t>
  </si>
  <si>
    <t>anto.shofi.d</t>
  </si>
  <si>
    <t>Mariela</t>
  </si>
  <si>
    <t>mariela.flowers</t>
  </si>
  <si>
    <t xml:space="preserve">Javiera </t>
  </si>
  <si>
    <t>rulis.o</t>
  </si>
  <si>
    <t xml:space="preserve">belen </t>
  </si>
  <si>
    <t>belenentrelibros</t>
  </si>
  <si>
    <t>Vale</t>
  </si>
  <si>
    <t>Valit0p</t>
  </si>
  <si>
    <t>Entregado 15/07</t>
  </si>
  <si>
    <t>esteban pimentel</t>
  </si>
  <si>
    <t>bolsa kraft casa del mark</t>
  </si>
  <si>
    <t>josefa</t>
  </si>
  <si>
    <t>josefaignaciax_</t>
  </si>
  <si>
    <t xml:space="preserve">bolsa Kraft chica plana </t>
  </si>
  <si>
    <t xml:space="preserve">menor </t>
  </si>
  <si>
    <t>@yayoisdead</t>
  </si>
  <si>
    <t>caja chica blanca</t>
  </si>
  <si>
    <t>javiera herrera</t>
  </si>
  <si>
    <t>alexi gonzales</t>
  </si>
  <si>
    <t>alexandra</t>
  </si>
  <si>
    <t>ale_becerra-</t>
  </si>
  <si>
    <t>rocio</t>
  </si>
  <si>
    <t>@chiocaxai</t>
  </si>
  <si>
    <t xml:space="preserve">bolsa kraft </t>
  </si>
  <si>
    <t>bolSA KRAFT GRANDE</t>
  </si>
  <si>
    <t>HARAKIRI</t>
  </si>
  <si>
    <t>JUAN MARQUEZ</t>
  </si>
  <si>
    <t>BOLSA KRAFT GRANDE</t>
  </si>
  <si>
    <t xml:space="preserve">francisca saez </t>
  </si>
  <si>
    <t>daniela calderon</t>
  </si>
  <si>
    <t>bolsa chica kraft con chilcos</t>
  </si>
  <si>
    <t>francisco contreras</t>
  </si>
  <si>
    <t>@pancho_frc</t>
  </si>
  <si>
    <t>por pagar $16000</t>
  </si>
  <si>
    <t>valentina espinoza</t>
  </si>
  <si>
    <t>@vale.espinozap</t>
  </si>
  <si>
    <t>gabriela ovando</t>
  </si>
  <si>
    <t>@mushimaluliga</t>
  </si>
  <si>
    <t>artesany</t>
  </si>
  <si>
    <t>jesica jerez</t>
  </si>
  <si>
    <t>por pagar $5000</t>
  </si>
  <si>
    <t>alejandra chaqueo</t>
  </si>
  <si>
    <t>claudio torres</t>
  </si>
  <si>
    <t>cajita metalica poke</t>
  </si>
  <si>
    <t xml:space="preserve">Natalia </t>
  </si>
  <si>
    <t xml:space="preserve">@natalbornoz </t>
  </si>
  <si>
    <t>ENTREGADO</t>
  </si>
  <si>
    <t>bolsa craft grande</t>
  </si>
  <si>
    <t>Sofía</t>
  </si>
  <si>
    <t>@svfizv</t>
  </si>
  <si>
    <t>Yuni</t>
  </si>
  <si>
    <t>@_kan.saita</t>
  </si>
  <si>
    <t xml:space="preserve">francisca </t>
  </si>
  <si>
    <t>@franibarahona</t>
  </si>
  <si>
    <t>DANIELA CARRASCO</t>
  </si>
  <si>
    <t>@RO.CIOOV</t>
  </si>
  <si>
    <t xml:space="preserve">BOLSA GRANDE </t>
  </si>
  <si>
    <t>retirado por bruma</t>
  </si>
  <si>
    <t>vero</t>
  </si>
  <si>
    <t>@lepetit_encantos</t>
  </si>
  <si>
    <t>entregado x clau</t>
  </si>
  <si>
    <t>katherine</t>
  </si>
  <si>
    <t>@katthymoor</t>
  </si>
  <si>
    <t>miya</t>
  </si>
  <si>
    <t>@howlkki</t>
  </si>
  <si>
    <t>berni</t>
  </si>
  <si>
    <t xml:space="preserve">Fernanda Sanhueza </t>
  </si>
  <si>
    <t>@feruzza_arts</t>
  </si>
  <si>
    <t xml:space="preserve">Isidora </t>
  </si>
  <si>
    <t>@isidorasrv</t>
  </si>
  <si>
    <t>Entregado</t>
  </si>
  <si>
    <t xml:space="preserve">Yasna Arévalo </t>
  </si>
  <si>
    <t xml:space="preserve">Clau </t>
  </si>
  <si>
    <t>ENTREGADO CLAU</t>
  </si>
  <si>
    <t>coni</t>
  </si>
  <si>
    <t>@coni.figueroa</t>
  </si>
  <si>
    <t>Entregado 05/07</t>
  </si>
  <si>
    <t>Paulina jara</t>
  </si>
  <si>
    <t>ignacio</t>
  </si>
  <si>
    <t xml:space="preserve">@igncm.diaz </t>
  </si>
  <si>
    <t>@animuun</t>
  </si>
  <si>
    <t>vicente espinoza</t>
  </si>
  <si>
    <t>vale</t>
  </si>
  <si>
    <t>@vale_alvi</t>
  </si>
  <si>
    <t>bolsa craft plana</t>
  </si>
  <si>
    <t xml:space="preserve">@lunabelt_ </t>
  </si>
  <si>
    <t>Carmen Paz</t>
  </si>
  <si>
    <t>@pazitaprdns</t>
  </si>
  <si>
    <t xml:space="preserve">javiera v </t>
  </si>
  <si>
    <t>@lajavitaw</t>
  </si>
  <si>
    <t>bolsa craft (colonia)</t>
  </si>
  <si>
    <t>denisse</t>
  </si>
  <si>
    <t>@denicanales_</t>
  </si>
  <si>
    <t>@catata_.c</t>
  </si>
  <si>
    <t>animuun</t>
  </si>
  <si>
    <t>benjamin oyarzo</t>
  </si>
  <si>
    <t>bolsa plastica cute</t>
  </si>
  <si>
    <t>Joselyn Alvarez</t>
  </si>
  <si>
    <t>@joalvarezramirez</t>
  </si>
  <si>
    <t>bolsa cafe con un ternuroide</t>
  </si>
  <si>
    <t>vitor jarpa y alejandra torres</t>
  </si>
  <si>
    <t>Esta escondida tras la cortina negra</t>
  </si>
  <si>
    <t>daniela carrasco(rocio)</t>
  </si>
  <si>
    <t>@ro.cioov</t>
  </si>
  <si>
    <t>bolsa kraft manillas escalera</t>
  </si>
  <si>
    <t>ENTRTEGADO</t>
  </si>
  <si>
    <t>ignacia navalon</t>
  </si>
  <si>
    <t>@flobubblee</t>
  </si>
  <si>
    <t>chococaramel</t>
  </si>
  <si>
    <t>amanda</t>
  </si>
  <si>
    <t>bolsa bonita</t>
  </si>
  <si>
    <t>STICKYCLAU</t>
  </si>
  <si>
    <t>CONI</t>
  </si>
  <si>
    <t>@CONITAAAAM</t>
  </si>
  <si>
    <t>POR PAGAR 2MIL</t>
  </si>
  <si>
    <t>BOLSA BLANCA CHICA</t>
  </si>
  <si>
    <t>KARINA</t>
  </si>
  <si>
    <t>@NINAVAOLVE</t>
  </si>
  <si>
    <t>BOLSA GRANDE CASITA MARK</t>
  </si>
  <si>
    <t>NAVIA VARELA</t>
  </si>
  <si>
    <t>@SOFIAMEZA600</t>
  </si>
  <si>
    <t>BOLSA KRAFT MEDIANA</t>
  </si>
  <si>
    <t>camila</t>
  </si>
  <si>
    <t>@c.maureira_</t>
  </si>
  <si>
    <t>bloqueador suelto</t>
  </si>
  <si>
    <t>almendra guerrero</t>
  </si>
  <si>
    <t>francisca</t>
  </si>
  <si>
    <t>BOLSAS KRAFT PEQUEÑAS</t>
  </si>
  <si>
    <t>DELIA</t>
  </si>
  <si>
    <t>KAREN</t>
  </si>
  <si>
    <t>enTREGADO</t>
  </si>
  <si>
    <t>brumataller</t>
  </si>
  <si>
    <t>florall tattoo</t>
  </si>
  <si>
    <t>bolsa grande / cortina negra</t>
  </si>
  <si>
    <t>animoon</t>
  </si>
  <si>
    <t>luis novoa</t>
  </si>
  <si>
    <t>cajita pequeña</t>
  </si>
  <si>
    <t>ricardo</t>
  </si>
  <si>
    <t>titeres</t>
  </si>
  <si>
    <t>miriam castillo</t>
  </si>
  <si>
    <t>@bengala_en_altamar</t>
  </si>
  <si>
    <t>bolsa chica blanca</t>
  </si>
  <si>
    <t>ENTERGADO</t>
  </si>
  <si>
    <t>esteban/vale albornoz</t>
  </si>
  <si>
    <t>por pagar 2500</t>
  </si>
  <si>
    <t>bolsa kraft arrugada</t>
  </si>
  <si>
    <t>Francis</t>
  </si>
  <si>
    <t>nube</t>
  </si>
  <si>
    <t>bolsa kraft no tan arrugada</t>
  </si>
  <si>
    <t xml:space="preserve">Daniel zalasa </t>
  </si>
  <si>
    <t xml:space="preserve">caja carton </t>
  </si>
  <si>
    <t>Marcelo</t>
  </si>
  <si>
    <t>@arbolito_cast</t>
  </si>
  <si>
    <t>bolsa krafty</t>
  </si>
  <si>
    <t>cuarto</t>
  </si>
  <si>
    <t>via instagram</t>
  </si>
  <si>
    <t>Gonzalo Novoa</t>
  </si>
  <si>
    <t>@stay_medicated_ccp</t>
  </si>
  <si>
    <t>bolsa kraft (3 gatitos)</t>
  </si>
  <si>
    <t>ENTREGADO 11/07</t>
  </si>
  <si>
    <t>julio pino</t>
  </si>
  <si>
    <t>caja papel kraft</t>
  </si>
  <si>
    <t>Sticky</t>
  </si>
  <si>
    <t>Bolsa kraft pesada</t>
  </si>
  <si>
    <t>entregado x clau 26/06</t>
  </si>
  <si>
    <t>Pochii</t>
  </si>
  <si>
    <t>Cote Planta Negra ?</t>
  </si>
  <si>
    <t>entregado 24/06</t>
  </si>
  <si>
    <t>Danilo</t>
  </si>
  <si>
    <t>mauricio nazal</t>
  </si>
  <si>
    <t>entregado 01/07</t>
  </si>
  <si>
    <t>rosi</t>
  </si>
  <si>
    <t>2 bolsas kraft manillas</t>
  </si>
  <si>
    <t>entregdo</t>
  </si>
  <si>
    <t>andi</t>
  </si>
  <si>
    <t>bolsa kraft manillas</t>
  </si>
  <si>
    <t>daniela</t>
  </si>
  <si>
    <t>scarlet</t>
  </si>
  <si>
    <t>johnny</t>
  </si>
  <si>
    <t>retirado x tienda</t>
  </si>
  <si>
    <t>saihou.manifacturas</t>
  </si>
  <si>
    <t>paloma @bengala_en_altamar</t>
  </si>
  <si>
    <t>bolsa craft suave tras cortina</t>
  </si>
  <si>
    <t>entregado clau</t>
  </si>
  <si>
    <t>StickyClaudia</t>
  </si>
  <si>
    <t>@lorenza.asesorias.cl</t>
  </si>
  <si>
    <t>bolsita blanca chiquita</t>
  </si>
  <si>
    <t>titere</t>
  </si>
  <si>
    <t>Rocio</t>
  </si>
  <si>
    <t xml:space="preserve">Bolsita kraft </t>
  </si>
  <si>
    <t>soledad abasolo</t>
  </si>
  <si>
    <t>balsa blanca grande</t>
  </si>
  <si>
    <t>Patricia</t>
  </si>
  <si>
    <t>Bolsa grande café tras la cortina</t>
  </si>
  <si>
    <t>Bolsa fea grande, tras la cortina</t>
  </si>
  <si>
    <t>Alvaro Barrientos</t>
  </si>
  <si>
    <t>Bolsita Arrugada tras cortina</t>
  </si>
  <si>
    <t>Entregado 01/07</t>
  </si>
  <si>
    <t xml:space="preserve">Meli </t>
  </si>
  <si>
    <t>Bolsita kraft Milen</t>
  </si>
  <si>
    <t>entregado x clau 03/07</t>
  </si>
  <si>
    <t>Scarlet</t>
  </si>
  <si>
    <t>Bolsita craft Milen</t>
  </si>
  <si>
    <t>entregado 08/07</t>
  </si>
  <si>
    <t>Bolsita craft milen</t>
  </si>
  <si>
    <t>Entregado 02/07</t>
  </si>
  <si>
    <t>Kayna Arenas</t>
  </si>
  <si>
    <t>Bolsa Shein Tras cortina</t>
  </si>
  <si>
    <t>Alejandra</t>
  </si>
  <si>
    <t>Francisca Hermosilla</t>
  </si>
  <si>
    <t>Bolsita transparente</t>
  </si>
  <si>
    <t>Entregado 04/07</t>
  </si>
  <si>
    <t>ENTREGADO 04/07</t>
  </si>
  <si>
    <t>alejandra chanqueo</t>
  </si>
  <si>
    <t>playmat en bolsa plastica</t>
  </si>
  <si>
    <t>entregado 04/07</t>
  </si>
  <si>
    <t>alvaro barrientos</t>
  </si>
  <si>
    <t>entregado09/07</t>
  </si>
  <si>
    <t>mel rivas</t>
  </si>
  <si>
    <t>Pagado 12 mil efectivo</t>
  </si>
  <si>
    <t>hellen sarmiento</t>
  </si>
  <si>
    <t>por pagar 9000</t>
  </si>
  <si>
    <t>linseing Lara</t>
  </si>
  <si>
    <t>bolsa kraft grande casa mark</t>
  </si>
  <si>
    <t>entregdo 05/07</t>
  </si>
  <si>
    <t>Patricia Chamorro</t>
  </si>
  <si>
    <t>Carlos</t>
  </si>
  <si>
    <t xml:space="preserve">                                             </t>
  </si>
  <si>
    <t>sofia quintana</t>
  </si>
  <si>
    <t>por pagar transf chococaramel</t>
  </si>
  <si>
    <t>bolsita tela</t>
  </si>
  <si>
    <t>Romi</t>
  </si>
  <si>
    <t>entregado 07 jul</t>
  </si>
  <si>
    <t>kayna arenas</t>
  </si>
  <si>
    <t>paquete kraft</t>
  </si>
  <si>
    <t>entregado 11 jul</t>
  </si>
  <si>
    <t>lore toloza</t>
  </si>
  <si>
    <t>Entregado 19/07 x carlos</t>
  </si>
  <si>
    <t>alexis contreras</t>
  </si>
  <si>
    <t>bolsa kraft etiqueta amarilla</t>
  </si>
  <si>
    <t>ENTREGADO POR LESS</t>
  </si>
  <si>
    <t>elizabeth iturrieta</t>
  </si>
  <si>
    <t>pa</t>
  </si>
  <si>
    <t>bolsa ziploc CD casa mark</t>
  </si>
  <si>
    <t>entregado por clau 10/07</t>
  </si>
  <si>
    <t>geraldine</t>
  </si>
  <si>
    <t>bolsita cn manillas</t>
  </si>
  <si>
    <t>Entregado 22/07 henry</t>
  </si>
  <si>
    <t>marce</t>
  </si>
  <si>
    <t>ent 11 ago x romi</t>
  </si>
  <si>
    <t>Valentina</t>
  </si>
  <si>
    <t>ig vaalentinadr_</t>
  </si>
  <si>
    <t>MILEN</t>
  </si>
  <si>
    <t>ROSI</t>
  </si>
  <si>
    <t>bolsita kraft milen</t>
  </si>
  <si>
    <t xml:space="preserve">entregado 12/07 por diego </t>
  </si>
  <si>
    <t>NANDA</t>
  </si>
  <si>
    <t>soledar abasolo</t>
  </si>
  <si>
    <t>caja rectangular casa mark</t>
  </si>
  <si>
    <t>Entregado 06/08 Henry</t>
  </si>
  <si>
    <t>sonia arriagada</t>
  </si>
  <si>
    <t>caja envuelta en kraft</t>
  </si>
  <si>
    <t>entregado 15/07</t>
  </si>
  <si>
    <t>niña mala</t>
  </si>
  <si>
    <t>valentina villarroel</t>
  </si>
  <si>
    <t>entregado x diego 18/7</t>
  </si>
  <si>
    <t>sebastian</t>
  </si>
  <si>
    <t>Entregado 29/07 Henry</t>
  </si>
  <si>
    <t>Francisca Perez</t>
  </si>
  <si>
    <t>ig frankeren_books</t>
  </si>
  <si>
    <t>Bolsa café chica plana</t>
  </si>
  <si>
    <t>entregado 01/08 less</t>
  </si>
  <si>
    <t>ig potatoes_with_cheese</t>
  </si>
  <si>
    <t>Bolsita chiquita blanca</t>
  </si>
  <si>
    <t>entregado 31/07 Clau</t>
  </si>
  <si>
    <t>fono 949844415</t>
  </si>
  <si>
    <t>Sylvanians Ciervos</t>
  </si>
  <si>
    <t>Sonia Arriagada</t>
  </si>
  <si>
    <t>Cajita Blanca Chiquita</t>
  </si>
  <si>
    <t>entregado 17/07 x clau</t>
  </si>
  <si>
    <t>Germán Terán</t>
  </si>
  <si>
    <t>Cajita pequeña café</t>
  </si>
  <si>
    <t>Francisca Saez</t>
  </si>
  <si>
    <t>Bolsa café grande</t>
  </si>
  <si>
    <t>caja papel kraft mediana</t>
  </si>
  <si>
    <t>ntregado x clau 17/07</t>
  </si>
  <si>
    <t>Jorge fernandez</t>
  </si>
  <si>
    <t>compu casita mark encima de las cajas</t>
  </si>
  <si>
    <t>entregado x clau 17/07</t>
  </si>
  <si>
    <t>ismenia venegas</t>
  </si>
  <si>
    <t>ig ismeniavenegas</t>
  </si>
  <si>
    <t>bolsa kraft cn manillas</t>
  </si>
  <si>
    <t>Coni</t>
  </si>
  <si>
    <t>coni.figueroat</t>
  </si>
  <si>
    <t>vicente rodriguez</t>
  </si>
  <si>
    <t>Less</t>
  </si>
  <si>
    <t>2 cajas de cartas, casita mark</t>
  </si>
  <si>
    <t xml:space="preserve">Jorge Fernandez </t>
  </si>
  <si>
    <t>paquete cafe con scotch tras cortina</t>
  </si>
  <si>
    <t>Entregado 22/07 Henry</t>
  </si>
  <si>
    <t>milton</t>
  </si>
  <si>
    <t xml:space="preserve">bolsa cafe </t>
  </si>
  <si>
    <t xml:space="preserve">nicolas naredo </t>
  </si>
  <si>
    <t>giovani</t>
  </si>
  <si>
    <t>carpeta poke, casa mark</t>
  </si>
  <si>
    <t>LAU</t>
  </si>
  <si>
    <t>entregado x romi 21/07</t>
  </si>
  <si>
    <t>bolsa cafe cuadrada</t>
  </si>
  <si>
    <t>Entregado x carlos 19/07</t>
  </si>
  <si>
    <t>Tamara gonzales</t>
  </si>
  <si>
    <t>ig g.tamala_</t>
  </si>
  <si>
    <t>Entregado 05/08 henry</t>
  </si>
  <si>
    <t>eliseo</t>
  </si>
  <si>
    <t>ig eliseoooosss</t>
  </si>
  <si>
    <t>bolsa papel revista</t>
  </si>
  <si>
    <t>entregado 24/07 x clau</t>
  </si>
  <si>
    <t>Loreto</t>
  </si>
  <si>
    <t>Bolsita Milen</t>
  </si>
  <si>
    <t xml:space="preserve">Henry </t>
  </si>
  <si>
    <t>UNI 2 PEDIDOS EN 1, está mas abajo</t>
  </si>
  <si>
    <t xml:space="preserve">Marcela Medina </t>
  </si>
  <si>
    <t>ig marce_paz</t>
  </si>
  <si>
    <t>entregado 23/07 guido</t>
  </si>
  <si>
    <t>Charlie</t>
  </si>
  <si>
    <t>Devora</t>
  </si>
  <si>
    <t>entregado 25/07 x carlos - dejo crema como cambio</t>
  </si>
  <si>
    <t>robinson</t>
  </si>
  <si>
    <t>dos sacos escalera</t>
  </si>
  <si>
    <t>val dinamarca</t>
  </si>
  <si>
    <t>@valevalosa.art</t>
  </si>
  <si>
    <t>florencia rios</t>
  </si>
  <si>
    <t>entregado 25/07 carlos</t>
  </si>
  <si>
    <t>tomas sanchez</t>
  </si>
  <si>
    <t>bolsa blanca pequeña en caja sylvanian</t>
  </si>
  <si>
    <t>nelly</t>
  </si>
  <si>
    <t>bolsa kraft cas mark</t>
  </si>
  <si>
    <t>entregado 20 agosto guido</t>
  </si>
  <si>
    <t>planta negra</t>
  </si>
  <si>
    <t>jordi</t>
  </si>
  <si>
    <t>entregado 28 jul romi</t>
  </si>
  <si>
    <t>Crema envuelta en bolsa transparente</t>
  </si>
  <si>
    <t>bolsa kraft con manillas (tiene otro nombre tajado)</t>
  </si>
  <si>
    <t>josefa molina pradenas</t>
  </si>
  <si>
    <t xml:space="preserve">bolsa kraft cafe </t>
  </si>
  <si>
    <t>entregado 04 ago x romi</t>
  </si>
  <si>
    <t>yohanny vera</t>
  </si>
  <si>
    <t>bolsa transparente chica</t>
  </si>
  <si>
    <t>ENTREGADO 01 AGO LESS</t>
  </si>
  <si>
    <t>yasmin poblete</t>
  </si>
  <si>
    <t>ig anemonita.a</t>
  </si>
  <si>
    <t>matias</t>
  </si>
  <si>
    <t>ENTregado 29/07 henry</t>
  </si>
  <si>
    <t>Ricardo Ponce</t>
  </si>
  <si>
    <t>Fono: 992252820</t>
  </si>
  <si>
    <t>Sobre Café (TRAS CORTINA)</t>
  </si>
  <si>
    <t>Entregado 29/07 henry</t>
  </si>
  <si>
    <t>Rocio Alvear</t>
  </si>
  <si>
    <t>Ig rodellarossa</t>
  </si>
  <si>
    <t>Bolsita café</t>
  </si>
  <si>
    <t>ENTREGADO 08/08 LESS</t>
  </si>
  <si>
    <t>Animoon</t>
  </si>
  <si>
    <t>José San Martin</t>
  </si>
  <si>
    <t>Bolsita transparente chica</t>
  </si>
  <si>
    <t>entregado 31/07 x clau</t>
  </si>
  <si>
    <t>Angelo Pino / Barinoska Rupayan</t>
  </si>
  <si>
    <t>Bolsa Verde Grande</t>
  </si>
  <si>
    <t>ricardo ponce</t>
  </si>
  <si>
    <t>bolsa rectangular kraft</t>
  </si>
  <si>
    <t>paula alarcon piezachicastudio</t>
  </si>
  <si>
    <t>cajita carton</t>
  </si>
  <si>
    <t>entregado 02/08 x diego</t>
  </si>
  <si>
    <t>jonathan valenzuela</t>
  </si>
  <si>
    <t>diego walker</t>
  </si>
  <si>
    <t>carpeta blanca casa mark</t>
  </si>
  <si>
    <t xml:space="preserve">leslie nova </t>
  </si>
  <si>
    <t>@daniinovall</t>
  </si>
  <si>
    <t>por pagar 10000</t>
  </si>
  <si>
    <t>Retirado</t>
  </si>
  <si>
    <t>pablo</t>
  </si>
  <si>
    <t>claudio sanchez</t>
  </si>
  <si>
    <t>aun no lo pagan, lo pagan 05 agosto, confirmar con titeremania</t>
  </si>
  <si>
    <t>Entregado 06 Agosto Henry</t>
  </si>
  <si>
    <t>richard gonzales</t>
  </si>
  <si>
    <t>Antonietta Molina</t>
  </si>
  <si>
    <t>Fono: 942137083</t>
  </si>
  <si>
    <t>Deborah Campos</t>
  </si>
  <si>
    <t>Bolsa craft</t>
  </si>
  <si>
    <t>entregado 05/08 henry</t>
  </si>
  <si>
    <t>Bruma taller</t>
  </si>
  <si>
    <t>Pieza Chica</t>
  </si>
  <si>
    <t>ig piezachicaestudio</t>
  </si>
  <si>
    <t>bolsa café tras cortina</t>
  </si>
  <si>
    <t>ENTREGAGO 08/08</t>
  </si>
  <si>
    <t>Daniela Perez</t>
  </si>
  <si>
    <t>Bolsita con pajaritos</t>
  </si>
  <si>
    <t xml:space="preserve">sticky Clau </t>
  </si>
  <si>
    <t>Francisca condeza</t>
  </si>
  <si>
    <t xml:space="preserve">bolsa transparente con hojas de stickers </t>
  </si>
  <si>
    <t>entregado 07/08 x clau</t>
  </si>
  <si>
    <t xml:space="preserve">StickyClau </t>
  </si>
  <si>
    <t>ig camiitbr</t>
  </si>
  <si>
    <t>bolsa Kraft sticker labubu</t>
  </si>
  <si>
    <t>panchi</t>
  </si>
  <si>
    <t>ig: un.gato.lector</t>
  </si>
  <si>
    <t>por pagar 4500</t>
  </si>
  <si>
    <t>07/08 entregado x clau</t>
  </si>
  <si>
    <t>Bolsita Café</t>
  </si>
  <si>
    <t>entregado 09/09</t>
  </si>
  <si>
    <t>david san martin</t>
  </si>
  <si>
    <t>bolsa ziploc transparente</t>
  </si>
  <si>
    <t>lo guardé aparte</t>
  </si>
  <si>
    <t>08/08 entregado x less</t>
  </si>
  <si>
    <t>cata barberis</t>
  </si>
  <si>
    <t xml:space="preserve">bolsa Kraft grande </t>
  </si>
  <si>
    <t>entregado 25/08 x romi</t>
  </si>
  <si>
    <t>TITEREMANIA</t>
  </si>
  <si>
    <t>DANIELA TITEREMANIA</t>
  </si>
  <si>
    <t>bolsa kraft cafe</t>
  </si>
  <si>
    <t>ALEJANDRO AMPOERA</t>
  </si>
  <si>
    <t>PARA MEMOMRY LAB</t>
  </si>
  <si>
    <t>BOLSA PLASTICA CLARA</t>
  </si>
  <si>
    <t>08/08 ENTREGADO X LESS</t>
  </si>
  <si>
    <t>LORETO CAMPANO</t>
  </si>
  <si>
    <t>KRAFT GRANDE CASA MARK</t>
  </si>
  <si>
    <t>NATALIA</t>
  </si>
  <si>
    <t>KFRAT GRANDE CASA MARK</t>
  </si>
  <si>
    <t>Entregado 09/08 Carlos</t>
  </si>
  <si>
    <t>ZERODOS</t>
  </si>
  <si>
    <t>NATALIA VERGARA</t>
  </si>
  <si>
    <t>KRAFT CAFE</t>
  </si>
  <si>
    <t>ANA GONZALES</t>
  </si>
  <si>
    <t>LOSTROEDICIONES</t>
  </si>
  <si>
    <t>KRAFT MANILLA GRANDE MARK</t>
  </si>
  <si>
    <t>entregado 19/08 x clau</t>
  </si>
  <si>
    <t>kfraT GRANDE CASA MARK</t>
  </si>
  <si>
    <t xml:space="preserve">entregada x romi </t>
  </si>
  <si>
    <t xml:space="preserve">david san martin </t>
  </si>
  <si>
    <t>ent 11 agos xromi</t>
  </si>
  <si>
    <t>ent 18 ago x romi</t>
  </si>
  <si>
    <t>entregado 13 ago guido</t>
  </si>
  <si>
    <t>karen ampuero</t>
  </si>
  <si>
    <t>kraft tras cortina</t>
  </si>
  <si>
    <t>Julio Pino</t>
  </si>
  <si>
    <t>Cajita chiquita café tras cortina</t>
  </si>
  <si>
    <t>Rossy</t>
  </si>
  <si>
    <t>entregado14 agosto x clau</t>
  </si>
  <si>
    <t>Hugo Nuñez</t>
  </si>
  <si>
    <t>Alejandra Chankeo</t>
  </si>
  <si>
    <t>Carpeta Negra tras cortina</t>
  </si>
  <si>
    <t>entregado y pagado 13 ago guido</t>
  </si>
  <si>
    <t>matias oñate</t>
  </si>
  <si>
    <t xml:space="preserve">bolsita plastica chica </t>
  </si>
  <si>
    <t>entregado 14/08 x clau</t>
  </si>
  <si>
    <t>bolsa kraft arrugada mark</t>
  </si>
  <si>
    <t>karen</t>
  </si>
  <si>
    <t>entregado 20/08 guido</t>
  </si>
  <si>
    <t>scarlete</t>
  </si>
  <si>
    <t>bolsa kraft mailla</t>
  </si>
  <si>
    <t>entregado 23/05 x diego</t>
  </si>
  <si>
    <t>paustan</t>
  </si>
  <si>
    <t>eli</t>
  </si>
  <si>
    <t xml:space="preserve">fernanda </t>
  </si>
  <si>
    <t>ig fena.figueroa</t>
  </si>
  <si>
    <t>michelle</t>
  </si>
  <si>
    <t>ig yaso_clf</t>
  </si>
  <si>
    <t>entregado 18 ago x romi</t>
  </si>
  <si>
    <t>basilio giovaneti</t>
  </si>
  <si>
    <t>cristobal orellana</t>
  </si>
  <si>
    <t>bolsa kraft larga</t>
  </si>
  <si>
    <t>entregado 27/08 guido</t>
  </si>
  <si>
    <t>dylan</t>
  </si>
  <si>
    <t>@idyoteque</t>
  </si>
  <si>
    <t>entregado 23/08 x diego</t>
  </si>
  <si>
    <t>@cnstnzd</t>
  </si>
  <si>
    <t>libro scrapbook casa mark</t>
  </si>
  <si>
    <t>entregado 25/08 xromi</t>
  </si>
  <si>
    <t>Gabriel Pedreros</t>
  </si>
  <si>
    <t>Sobrecito blanco con cartas</t>
  </si>
  <si>
    <t>Johanna Cuevas</t>
  </si>
  <si>
    <t>VHS tras cortina</t>
  </si>
  <si>
    <t>entregado 21/08 henry</t>
  </si>
  <si>
    <t>claudia nicole</t>
  </si>
  <si>
    <t>bolsa cafe kraft</t>
  </si>
  <si>
    <t>entregado 22/08 less</t>
  </si>
  <si>
    <t>karina segura</t>
  </si>
  <si>
    <t>@kaarinaseg</t>
  </si>
  <si>
    <t>Bolsa grande café tras cortina</t>
  </si>
  <si>
    <t>entregado 26/08 henry</t>
  </si>
  <si>
    <t>cielo cid</t>
  </si>
  <si>
    <t>@_catarsis.tatto_</t>
  </si>
  <si>
    <t>Entregado 26/08 henry</t>
  </si>
  <si>
    <t>sofia grunewald</t>
  </si>
  <si>
    <t>@sofia_smildokid</t>
  </si>
  <si>
    <t>Juan Maraboli Toledo</t>
  </si>
  <si>
    <t>Bolsa plástica transparente azul tras cortina</t>
  </si>
  <si>
    <t>francisca perez</t>
  </si>
  <si>
    <t>Bolsita café pequeña</t>
  </si>
  <si>
    <t>entregado 29/08 guido</t>
  </si>
  <si>
    <t>Lorena Gonzalez</t>
  </si>
  <si>
    <t>@lorena_gonzalez_s</t>
  </si>
  <si>
    <t>Puede llevar estuche o monedero de regalo NO SANRIO NO HELLOKITTY, Bolsa café tras cortina</t>
  </si>
  <si>
    <t>Cajita café tras cortina</t>
  </si>
  <si>
    <t>pamela muñoz</t>
  </si>
  <si>
    <t>bolsita cafe chica con dibujitos</t>
  </si>
  <si>
    <t>entregado 29/08 x romi</t>
  </si>
  <si>
    <t>ig mizu_sky</t>
  </si>
  <si>
    <t>entregado 28/08 x clau</t>
  </si>
  <si>
    <t>alabastro</t>
  </si>
  <si>
    <t>ig alabastr00</t>
  </si>
  <si>
    <t>2 bolsitas de regalo</t>
  </si>
  <si>
    <t>Entregado 02/09 Henry</t>
  </si>
  <si>
    <t>caja pasta de dientes</t>
  </si>
  <si>
    <t>01 sept</t>
  </si>
  <si>
    <t>pablo olate</t>
  </si>
  <si>
    <t>entregado 01/09 xromi</t>
  </si>
  <si>
    <t>nicolas</t>
  </si>
  <si>
    <t>dario less</t>
  </si>
  <si>
    <t>constanza albornoz</t>
  </si>
  <si>
    <t>beatriz ferrada</t>
  </si>
  <si>
    <t>bolsa charmander</t>
  </si>
  <si>
    <t>Entregado 03/09</t>
  </si>
  <si>
    <t>nicolas uribe</t>
  </si>
  <si>
    <t>bolsa chica con puntitos</t>
  </si>
  <si>
    <t>felipe jimenez</t>
  </si>
  <si>
    <t>caja grande casa</t>
  </si>
  <si>
    <t>2 Sept</t>
  </si>
  <si>
    <t>Pablo Olate</t>
  </si>
  <si>
    <t>Sobrecito Café</t>
  </si>
  <si>
    <t>Entregado 02/09</t>
  </si>
  <si>
    <t xml:space="preserve">Ari </t>
  </si>
  <si>
    <t>entregado 04/09</t>
  </si>
  <si>
    <t>Rosi</t>
  </si>
  <si>
    <t>@nevhie_</t>
  </si>
  <si>
    <t>por pagar 4800</t>
  </si>
  <si>
    <t>Cafe bolsa</t>
  </si>
  <si>
    <t>ENTREGADO 04/09</t>
  </si>
  <si>
    <t>entregado 13/09</t>
  </si>
  <si>
    <t>Bolsita blanca</t>
  </si>
  <si>
    <t>Gisel Ramos</t>
  </si>
  <si>
    <t>Irenia Talitakum</t>
  </si>
  <si>
    <t>Bolsa Café, Juego de mesa Pelusas</t>
  </si>
  <si>
    <t>02 Sept</t>
  </si>
  <si>
    <t>Tiare Contreras</t>
  </si>
  <si>
    <t>Bolsita blanca chica, es una tarjeta skullpanda</t>
  </si>
  <si>
    <t>Roberto Morales</t>
  </si>
  <si>
    <t>Caja Blanca</t>
  </si>
  <si>
    <t>3 Sept</t>
  </si>
  <si>
    <t>Solange San Martin</t>
  </si>
  <si>
    <t>@Solange.andrea1983</t>
  </si>
  <si>
    <t>entregtado 04/09</t>
  </si>
  <si>
    <t>ig valeanto13</t>
  </si>
  <si>
    <t>entregado 05/09</t>
  </si>
  <si>
    <t>Grace vendaño</t>
  </si>
  <si>
    <t>ig freeeeys</t>
  </si>
  <si>
    <t>----</t>
  </si>
  <si>
    <t>no se entregó</t>
  </si>
  <si>
    <t>eliminado</t>
  </si>
  <si>
    <t>roberto morales duran</t>
  </si>
  <si>
    <t>caja casita mark</t>
  </si>
  <si>
    <t>entregado 08/09</t>
  </si>
  <si>
    <t>5 sept</t>
  </si>
  <si>
    <t>Gerardo Villagran</t>
  </si>
  <si>
    <t>henry balatrez</t>
  </si>
  <si>
    <t xml:space="preserve">bolsa cafe con manilla </t>
  </si>
  <si>
    <t xml:space="preserve">Alihuen </t>
  </si>
  <si>
    <t>ig tranquivio</t>
  </si>
  <si>
    <t>LAS 2 MOCHILAS DE LA REPISA DE GUIDO</t>
  </si>
  <si>
    <t>entregado 10/09</t>
  </si>
  <si>
    <t>5 setp</t>
  </si>
  <si>
    <t>ALEJANDRO</t>
  </si>
  <si>
    <t>bolsa kraft cafe grande en punto retiro</t>
  </si>
  <si>
    <t>caja en casita mark</t>
  </si>
  <si>
    <t>ig catalinachavezv</t>
  </si>
  <si>
    <t>bolsa kraft grande casita mark</t>
  </si>
  <si>
    <t>tomi</t>
  </si>
  <si>
    <t>angela</t>
  </si>
  <si>
    <t>ig angietless</t>
  </si>
  <si>
    <t>maría ignacia</t>
  </si>
  <si>
    <t>entregado 11/09</t>
  </si>
  <si>
    <t>vania</t>
  </si>
  <si>
    <t>ig vanniarivera</t>
  </si>
  <si>
    <t>por pagar2500</t>
  </si>
  <si>
    <t>bolsa pikachu</t>
  </si>
  <si>
    <t>maria ignacia garces</t>
  </si>
  <si>
    <t>ig zao.exe</t>
  </si>
  <si>
    <t>bolsa pompompurin</t>
  </si>
  <si>
    <t>dani/nani</t>
  </si>
  <si>
    <t>ig da_nyow</t>
  </si>
  <si>
    <t>bolsa powerpuff girls</t>
  </si>
  <si>
    <t>entregago 06 oct</t>
  </si>
  <si>
    <t>Cristian Araya</t>
  </si>
  <si>
    <t>ig vrvyv</t>
  </si>
  <si>
    <t>entregafo 12/09</t>
  </si>
  <si>
    <t>ig danimvalenzuela</t>
  </si>
  <si>
    <t>entregado 22 sept</t>
  </si>
  <si>
    <t>pieza chica</t>
  </si>
  <si>
    <t>Entregado 13/09</t>
  </si>
  <si>
    <t>gerardo</t>
  </si>
  <si>
    <t>entregado 12/09</t>
  </si>
  <si>
    <t xml:space="preserve">cassette envueltos en bolsa transparente </t>
  </si>
  <si>
    <t>entregado 15 sept</t>
  </si>
  <si>
    <t>15 sept</t>
  </si>
  <si>
    <t>epoxxy accesorios</t>
  </si>
  <si>
    <t>trueque</t>
  </si>
  <si>
    <t>kraft mediana</t>
  </si>
  <si>
    <t>entregago 15 sept</t>
  </si>
  <si>
    <t>clau marquez</t>
  </si>
  <si>
    <t>Entregado 23 sept</t>
  </si>
  <si>
    <t>aaron</t>
  </si>
  <si>
    <t>ig aaaroned</t>
  </si>
  <si>
    <t>entregafo 15 sept</t>
  </si>
  <si>
    <t>annais riveros</t>
  </si>
  <si>
    <t>ig annais_8</t>
  </si>
  <si>
    <t>hans</t>
  </si>
  <si>
    <t>ig hansparast</t>
  </si>
  <si>
    <t>bolsa vinilos</t>
  </si>
  <si>
    <t>entregado 15 sep</t>
  </si>
  <si>
    <t>epoxxi</t>
  </si>
  <si>
    <t>manillas chiquta kraft</t>
  </si>
  <si>
    <t>entregado 23/09</t>
  </si>
  <si>
    <t>ignacio Barris Carrasco</t>
  </si>
  <si>
    <t>perez</t>
  </si>
  <si>
    <t>manillas blanca</t>
  </si>
  <si>
    <t>entregado 29/09</t>
  </si>
  <si>
    <t>16 Sept</t>
  </si>
  <si>
    <t>Monserrat</t>
  </si>
  <si>
    <t>ig _mon.ortiz</t>
  </si>
  <si>
    <t>bolsa café con logo del cuarto</t>
  </si>
  <si>
    <t>entregado 17 sep</t>
  </si>
  <si>
    <t>22 sept</t>
  </si>
  <si>
    <t>dariem aburto</t>
  </si>
  <si>
    <t>19.271.188-6</t>
  </si>
  <si>
    <t>caja forrada papel cuaderno</t>
  </si>
  <si>
    <t>Entregado 23 Sept</t>
  </si>
  <si>
    <t>victor sobarzo</t>
  </si>
  <si>
    <t>debora campos</t>
  </si>
  <si>
    <t>cosa compu con post it rosado</t>
  </si>
  <si>
    <t>alberto bailey</t>
  </si>
  <si>
    <t>ignacio barria</t>
  </si>
  <si>
    <t>kraft caja chiquita</t>
  </si>
  <si>
    <t>entregado 27/09</t>
  </si>
  <si>
    <t>kraft caja plana</t>
  </si>
  <si>
    <t>23 Sept</t>
  </si>
  <si>
    <t>Caja Cuadrada Medianamente Grande</t>
  </si>
  <si>
    <t>Entregado 23/09</t>
  </si>
  <si>
    <t>Maii</t>
  </si>
  <si>
    <t>por pagar 4000</t>
  </si>
  <si>
    <t>Bolsita pequeñita (2 Pins)</t>
  </si>
  <si>
    <t>Pablo Pino</t>
  </si>
  <si>
    <t>Belen Chanqueo</t>
  </si>
  <si>
    <t>Por pagar 500 pal estuche amarillo</t>
  </si>
  <si>
    <t>Bolsa plana café tras cortina</t>
  </si>
  <si>
    <t>entregado 25/09</t>
  </si>
  <si>
    <t>bolsa cafe medianamente grande</t>
  </si>
  <si>
    <t>23 sept</t>
  </si>
  <si>
    <t>Joaquin Figueroa</t>
  </si>
  <si>
    <t>Cajita de carton tras cortina</t>
  </si>
  <si>
    <t>entregado 24/09</t>
  </si>
  <si>
    <t>Rocio Arroyo</t>
  </si>
  <si>
    <t>Coty</t>
  </si>
  <si>
    <t>ig: cotytella</t>
  </si>
  <si>
    <t>Anamari</t>
  </si>
  <si>
    <t>ig: antonia.aob</t>
  </si>
  <si>
    <t>Mariana</t>
  </si>
  <si>
    <t>ig: _mariana.andrea_</t>
  </si>
  <si>
    <t>Caro</t>
  </si>
  <si>
    <t>ig: marstery_ant</t>
  </si>
  <si>
    <t>26 sept</t>
  </si>
  <si>
    <t>francisco rodriguez</t>
  </si>
  <si>
    <t>entregado 26/09</t>
  </si>
  <si>
    <t xml:space="preserve">bolsa blanca </t>
  </si>
  <si>
    <t>yayo soto saez</t>
  </si>
  <si>
    <t>entregado 29 sept</t>
  </si>
  <si>
    <t>bolsa cafe atras cortina</t>
  </si>
  <si>
    <t>27 sept</t>
  </si>
  <si>
    <t>29 sept</t>
  </si>
  <si>
    <t xml:space="preserve">joaquin figueroa </t>
  </si>
  <si>
    <t>entregado 03/10</t>
  </si>
  <si>
    <t>30 sept</t>
  </si>
  <si>
    <t>Alberto Bailey</t>
  </si>
  <si>
    <t>Bolsita Blanca con Pendrive</t>
  </si>
  <si>
    <t>entregado 30/09</t>
  </si>
  <si>
    <t>Reserva por insta</t>
  </si>
  <si>
    <t>Zerodos</t>
  </si>
  <si>
    <t>María Ignacia</t>
  </si>
  <si>
    <t>Por pagar 2500</t>
  </si>
  <si>
    <t>Bolsita Café chica</t>
  </si>
  <si>
    <t>Sebastian Alvarado</t>
  </si>
  <si>
    <t>Cajita Negra en bolsita</t>
  </si>
  <si>
    <t>Berni Lopez</t>
  </si>
  <si>
    <t>@acordonadxalvacio</t>
  </si>
  <si>
    <t>entregado 06 oct</t>
  </si>
  <si>
    <t>Vanesa Ortiz</t>
  </si>
  <si>
    <t>@vanecoil</t>
  </si>
  <si>
    <t>@lonapilona</t>
  </si>
  <si>
    <t>bolsita cafe chica</t>
  </si>
  <si>
    <t>entregado 01/10</t>
  </si>
  <si>
    <t>Gonzalo Fuentes</t>
  </si>
  <si>
    <t>@losgatosbala</t>
  </si>
  <si>
    <t>Bolsita blanca Chica</t>
  </si>
  <si>
    <t xml:space="preserve">30 sept </t>
  </si>
  <si>
    <t>conitaaaam</t>
  </si>
  <si>
    <t>constanza vilches</t>
  </si>
  <si>
    <t>@suaveluz_</t>
  </si>
  <si>
    <t>entregado 02/10</t>
  </si>
  <si>
    <t>@ambitar</t>
  </si>
  <si>
    <t xml:space="preserve">Bolsa plana café </t>
  </si>
  <si>
    <t xml:space="preserve">cajita cafe </t>
  </si>
  <si>
    <t>Entregado 11/10</t>
  </si>
  <si>
    <t>javiera monzo</t>
  </si>
  <si>
    <t>bolsa gigante casa mark</t>
  </si>
  <si>
    <t>entregado 07 oct</t>
  </si>
  <si>
    <t>diego riquelme</t>
  </si>
  <si>
    <t>bolsa cafe casa mark</t>
  </si>
  <si>
    <t>mariela vasquez</t>
  </si>
  <si>
    <t>Kevin</t>
  </si>
  <si>
    <t>ig kevinswaneck</t>
  </si>
  <si>
    <t>entregado08/10</t>
  </si>
  <si>
    <t>emilia rodriguez</t>
  </si>
  <si>
    <t>bolsa kraft chiquita con manillas</t>
  </si>
  <si>
    <t>entregado 08/10</t>
  </si>
  <si>
    <t>anasuromai.ttt</t>
  </si>
  <si>
    <t xml:space="preserve">bolsa enorme atras cortina </t>
  </si>
  <si>
    <t>martin gallardo</t>
  </si>
  <si>
    <t>entregado 09/10</t>
  </si>
  <si>
    <t>jorge Palma</t>
  </si>
  <si>
    <t>ig: el.jpe</t>
  </si>
  <si>
    <t>ent 13 oct</t>
  </si>
  <si>
    <t>yasna</t>
  </si>
  <si>
    <t>ig: yaaswhoo_</t>
  </si>
  <si>
    <t>bolsa colorida</t>
  </si>
  <si>
    <t>titeREMANIA</t>
  </si>
  <si>
    <t>ENTREGADO 10/10</t>
  </si>
  <si>
    <t>margaret yañez</t>
  </si>
  <si>
    <t>kraft cafe casa mark</t>
  </si>
  <si>
    <t>constanza (permitido cambiar un bodoque por uno de sus titeres)</t>
  </si>
  <si>
    <t>entregado 10/10</t>
  </si>
  <si>
    <t>Sergio Salazar</t>
  </si>
  <si>
    <t>Bolsita café Stickyclau</t>
  </si>
  <si>
    <t>Entregado 14/10</t>
  </si>
  <si>
    <t>Paula Díaz o Marcos Campos</t>
  </si>
  <si>
    <t>Karen Valenzuela Arias</t>
  </si>
  <si>
    <t>TitereManía</t>
  </si>
  <si>
    <t>Vale Chandía</t>
  </si>
  <si>
    <t>ent 20 oct</t>
  </si>
  <si>
    <t>Javi</t>
  </si>
  <si>
    <t>@javivi.ccp</t>
  </si>
  <si>
    <t>Alejandra Perez</t>
  </si>
  <si>
    <t>Bolsita rosada</t>
  </si>
  <si>
    <t>Caja kraft grande</t>
  </si>
  <si>
    <t>ent 16 oct</t>
  </si>
  <si>
    <t>javiera fuentealba</t>
  </si>
  <si>
    <t>cajita chica manillas</t>
  </si>
  <si>
    <t xml:space="preserve">Julian </t>
  </si>
  <si>
    <t>ig juliancons</t>
  </si>
  <si>
    <t>bolsita blanco con negro plana</t>
  </si>
  <si>
    <t>Entregado 28/10</t>
  </si>
  <si>
    <t>taller 22</t>
  </si>
  <si>
    <t>priscila</t>
  </si>
  <si>
    <t>libreta marmolada</t>
  </si>
  <si>
    <t>ig belen_amr</t>
  </si>
  <si>
    <t>axel sazo</t>
  </si>
  <si>
    <t>jorge salgado</t>
  </si>
  <si>
    <t xml:space="preserve">titeremania </t>
  </si>
  <si>
    <t>isi</t>
  </si>
  <si>
    <t>marcelo</t>
  </si>
  <si>
    <t>matias pizarro</t>
  </si>
  <si>
    <t>memorylad</t>
  </si>
  <si>
    <t>alejandra perez</t>
  </si>
  <si>
    <t>entregado 18/10</t>
  </si>
  <si>
    <t>karen valenzuela</t>
  </si>
  <si>
    <t>alondra campbell</t>
  </si>
  <si>
    <t>jorge vidal</t>
  </si>
  <si>
    <t>por pagar (debe avisar)</t>
  </si>
  <si>
    <t>maite aravena</t>
  </si>
  <si>
    <t>bolsa tela plateada</t>
  </si>
  <si>
    <t>entregado 20 oct</t>
  </si>
  <si>
    <t>diego valderrama</t>
  </si>
  <si>
    <t xml:space="preserve">kraft </t>
  </si>
  <si>
    <t>Kraft medio grande</t>
  </si>
  <si>
    <t>memory</t>
  </si>
  <si>
    <t>Mariela Vasquez</t>
  </si>
  <si>
    <t>cajita blanca chica casita mark</t>
  </si>
  <si>
    <t>paulina coquelet</t>
  </si>
  <si>
    <t>bolcita con pajaritos</t>
  </si>
  <si>
    <t>Clau cachureos</t>
  </si>
  <si>
    <t>Fran</t>
  </si>
  <si>
    <t>ig francisca_fts</t>
  </si>
  <si>
    <t>Araña de rinkon</t>
  </si>
  <si>
    <t>ig _loxosceles.laeta</t>
  </si>
  <si>
    <t>PAGA 7 EFECTIVO GUARDAR</t>
  </si>
  <si>
    <t>alejandra Perez</t>
  </si>
  <si>
    <t>kraft larga</t>
  </si>
  <si>
    <t>francisca schartz</t>
  </si>
  <si>
    <t>kraft mediana casa mark</t>
  </si>
  <si>
    <t>lua nova</t>
  </si>
  <si>
    <t>bolsa kraft casa mark grande</t>
  </si>
  <si>
    <t>lina jumbe</t>
  </si>
  <si>
    <t>bolsa plastica rosada</t>
  </si>
  <si>
    <t>cony orellana</t>
  </si>
  <si>
    <t>entr 27 oct</t>
  </si>
  <si>
    <t>andrea alarcon</t>
  </si>
  <si>
    <t>ent 27 oct</t>
  </si>
  <si>
    <t>bethsaaaaabe_</t>
  </si>
  <si>
    <t>10000 por pagar</t>
  </si>
  <si>
    <t>bolsa gigante cortina</t>
  </si>
  <si>
    <t>jorge tapia</t>
  </si>
  <si>
    <t>kraft chiquito atras cortina</t>
  </si>
  <si>
    <t>entregado 28 oct</t>
  </si>
  <si>
    <t>Eduardo Becerra</t>
  </si>
  <si>
    <t>Paquete blanco tras cortina</t>
  </si>
  <si>
    <t>Entregado 29 oct</t>
  </si>
  <si>
    <t xml:space="preserve">Memory Lab </t>
  </si>
  <si>
    <t>Myriam</t>
  </si>
  <si>
    <t>por pagar 1.500</t>
  </si>
  <si>
    <t>Bolsita blanca chica</t>
  </si>
  <si>
    <t>ig words.inbold</t>
  </si>
  <si>
    <t>bolsita kraft plana</t>
  </si>
  <si>
    <t>Natalia</t>
  </si>
  <si>
    <t>Vindictia</t>
  </si>
  <si>
    <t>bolsa kraft plana chica</t>
  </si>
  <si>
    <t>bolsa kraft gordita</t>
  </si>
  <si>
    <t>ig fhxrnanda</t>
  </si>
  <si>
    <t>Francisca</t>
  </si>
  <si>
    <t>ig frankeren.books</t>
  </si>
  <si>
    <t>Angelica</t>
  </si>
  <si>
    <t>ig angelicaflores20</t>
  </si>
  <si>
    <t>Bolsa kraft grande casita mark</t>
  </si>
  <si>
    <t>ig feruzza_art</t>
  </si>
  <si>
    <t>Hojas en bolsa transparente</t>
  </si>
  <si>
    <t>ig mariela.flowers</t>
  </si>
  <si>
    <t>Bolsita blanca chica plana</t>
  </si>
  <si>
    <t>Felipe</t>
  </si>
  <si>
    <t>ig cheep.5</t>
  </si>
  <si>
    <t>pago pendiente confirmar</t>
  </si>
  <si>
    <t>Gonzalo Sepulveda</t>
  </si>
  <si>
    <t xml:space="preserve">bolsa transparente </t>
  </si>
  <si>
    <t>sobre blanco casita mark</t>
  </si>
  <si>
    <t>Alejandra perez</t>
  </si>
  <si>
    <t>Javiera</t>
  </si>
  <si>
    <t>ig j.ripley_</t>
  </si>
  <si>
    <t>Bolsa kraft chica plana</t>
  </si>
  <si>
    <t>Se me olvidó</t>
  </si>
  <si>
    <t>ig coni.figueroat</t>
  </si>
  <si>
    <t>eduardo becerra</t>
  </si>
  <si>
    <t>kraft pequeña casa mark</t>
  </si>
  <si>
    <t>wiyu Javiera</t>
  </si>
  <si>
    <t>constanza aviles</t>
  </si>
  <si>
    <t>kraft punto retiro</t>
  </si>
  <si>
    <t>María José Montes</t>
  </si>
  <si>
    <t>ig constanzamontesgomez_</t>
  </si>
  <si>
    <t>Bolsa Café plana con sticker Bruma</t>
  </si>
  <si>
    <t>luna niebeski</t>
  </si>
  <si>
    <t>ig niebeski.art</t>
  </si>
  <si>
    <t>Bolsita colorida pequeña</t>
  </si>
  <si>
    <t>diego andres fuentes</t>
  </si>
  <si>
    <t>Bolsa Café Titeremanía</t>
  </si>
  <si>
    <t>mauricio arevalo</t>
  </si>
  <si>
    <t>caja cafe chica casa mark</t>
  </si>
  <si>
    <t>bolsa plana cafe casa mark</t>
  </si>
  <si>
    <t xml:space="preserve">retira Constanza </t>
  </si>
  <si>
    <t>bolsa papel cafe</t>
  </si>
  <si>
    <t>gonzalo sepulveda</t>
  </si>
  <si>
    <t>caja cafe larga casa mark</t>
  </si>
  <si>
    <t>pollo_cita</t>
  </si>
  <si>
    <t>retira Martin</t>
  </si>
  <si>
    <t>coté</t>
  </si>
  <si>
    <t>lacoteisla</t>
  </si>
  <si>
    <t>Marcos Sanhueza</t>
  </si>
  <si>
    <t>Bolsa kraft casita mark</t>
  </si>
  <si>
    <t>el ternu</t>
  </si>
  <si>
    <t>Stefanny</t>
  </si>
  <si>
    <t>ig stefanny.hhb</t>
  </si>
  <si>
    <t>bolsa café grande con nombre y un ternuroide dibujado</t>
  </si>
  <si>
    <t>romina jerez</t>
  </si>
  <si>
    <t>kraft cafe grande casa mark</t>
  </si>
  <si>
    <t>ana maria vasquez</t>
  </si>
  <si>
    <t>stay medicated</t>
  </si>
  <si>
    <t>kraft cafe grande punto entrega</t>
  </si>
  <si>
    <t>nieblisky</t>
  </si>
  <si>
    <t>bolsita transparente con gato punto entrega</t>
  </si>
  <si>
    <t>ca</t>
  </si>
  <si>
    <t>Felipe Alvarez</t>
  </si>
  <si>
    <t>bolsa kraft grande (bajo note)</t>
  </si>
  <si>
    <t xml:space="preserve">Pilar </t>
  </si>
  <si>
    <t>Bolsa kraft grande (bajo note)</t>
  </si>
  <si>
    <t>Constanza dumas</t>
  </si>
  <si>
    <t xml:space="preserve">Bolsa kraft mediana </t>
  </si>
  <si>
    <t>marco sanhueza</t>
  </si>
  <si>
    <t xml:space="preserve">kraft caja transparente </t>
  </si>
  <si>
    <t>carla castillo</t>
  </si>
  <si>
    <t>bolsita café</t>
  </si>
  <si>
    <t>Vicente</t>
  </si>
  <si>
    <t>ig vicnt.snm</t>
  </si>
  <si>
    <t>Bolsa Café chica</t>
  </si>
  <si>
    <t>Stickers de Milen sin bolsita</t>
  </si>
  <si>
    <t>ig Nube.handpoke</t>
  </si>
  <si>
    <t>antonella</t>
  </si>
  <si>
    <t>por pagar 1500</t>
  </si>
  <si>
    <t>bolsita blanca chica</t>
  </si>
  <si>
    <t>Emily</t>
  </si>
  <si>
    <t>ig emrys</t>
  </si>
  <si>
    <t>Bolsita kraft mediana</t>
  </si>
  <si>
    <t>Francis Navarrete</t>
  </si>
  <si>
    <t>Casita mark bolsa gigante</t>
  </si>
  <si>
    <t>KAtherine Rojas</t>
  </si>
  <si>
    <t>Casita mark</t>
  </si>
  <si>
    <t>Cristian CREMA</t>
  </si>
  <si>
    <t>Vero Repelente</t>
  </si>
  <si>
    <t>zerodos</t>
  </si>
  <si>
    <t>fabian arrau</t>
  </si>
  <si>
    <t>francisco olivares</t>
  </si>
  <si>
    <t>Cristian desodorante</t>
  </si>
  <si>
    <t>risalfajores</t>
  </si>
  <si>
    <t>Compra por Ig</t>
  </si>
  <si>
    <t>Kiru_stine</t>
  </si>
  <si>
    <t>Eduardo Soto Saez</t>
  </si>
  <si>
    <t>Sebastián Aguayo</t>
  </si>
  <si>
    <t>Por pagar 500 (pagado efectivo)</t>
  </si>
  <si>
    <t>Caja Cuadrada Blanca Carton</t>
  </si>
  <si>
    <t>Constanza</t>
  </si>
  <si>
    <t>ig _esotraconi</t>
  </si>
  <si>
    <t>CBolsa Café con manilla</t>
  </si>
  <si>
    <t>gonzalo fierm</t>
  </si>
  <si>
    <t>Maye vinet</t>
  </si>
  <si>
    <t>bolsa cafe grande</t>
  </si>
  <si>
    <t>Andres Latini</t>
  </si>
  <si>
    <t>daniel</t>
  </si>
  <si>
    <t>al lado de note</t>
  </si>
  <si>
    <t>caja rectangular cafe</t>
  </si>
  <si>
    <t>bolsa blanca rectangular</t>
  </si>
  <si>
    <t>bolsa hecha pico</t>
  </si>
  <si>
    <t>fran nube</t>
  </si>
  <si>
    <t>cris crema corporal</t>
  </si>
  <si>
    <t>ximena morales</t>
  </si>
  <si>
    <t>fernanda valderrama</t>
  </si>
  <si>
    <t>bolsa cafe chica</t>
  </si>
  <si>
    <t>Mel Rivas</t>
  </si>
  <si>
    <t>suavespina_</t>
  </si>
  <si>
    <t>_insurrectas_</t>
  </si>
  <si>
    <t>pagadop</t>
  </si>
  <si>
    <t>bolsa kraft blanca</t>
  </si>
  <si>
    <t>Renato Montecino</t>
  </si>
  <si>
    <t>Andrés Latini</t>
  </si>
  <si>
    <t>Cortina</t>
  </si>
  <si>
    <t>ignacia i</t>
  </si>
  <si>
    <t>kraft chico</t>
  </si>
  <si>
    <t>Ternuroide</t>
  </si>
  <si>
    <t>@4mon_r3ntier</t>
  </si>
  <si>
    <t>alice's bunny</t>
  </si>
  <si>
    <t>brigitte bustamante</t>
  </si>
  <si>
    <t>sobre amarillo grande</t>
  </si>
  <si>
    <t>Gabriela/graciela gatica</t>
  </si>
  <si>
    <t>bolsita manillas café, chica</t>
  </si>
  <si>
    <t>cajita kraft mediana</t>
  </si>
  <si>
    <t>carlo</t>
  </si>
  <si>
    <t>Majo</t>
  </si>
  <si>
    <t>ig maajobooks</t>
  </si>
  <si>
    <t>bolsa kraft con cajita</t>
  </si>
  <si>
    <t>María José</t>
  </si>
  <si>
    <t>ig xchxxrry</t>
  </si>
  <si>
    <t>kraft chiquita</t>
  </si>
  <si>
    <t>Josefa</t>
  </si>
  <si>
    <t>ig _jooseefaa:</t>
  </si>
  <si>
    <t>por pagar 1300</t>
  </si>
  <si>
    <t>Catalina placencia</t>
  </si>
  <si>
    <t>carla mellado</t>
  </si>
  <si>
    <t>por pagar 8990 (pagado sumup)</t>
  </si>
  <si>
    <t>bolsa kraft tote</t>
  </si>
  <si>
    <t>Benjamin vergara</t>
  </si>
  <si>
    <t>V</t>
  </si>
  <si>
    <t>Paulina Cofre</t>
  </si>
  <si>
    <t>carolin</t>
  </si>
  <si>
    <t>Nati (natalia salazar)</t>
  </si>
  <si>
    <t xml:space="preserve">ig: </t>
  </si>
  <si>
    <t>stickyclaudia</t>
  </si>
  <si>
    <t>@sebv_morv</t>
  </si>
  <si>
    <t>bolsita blaanca chiquita</t>
  </si>
  <si>
    <t>Camila Acuña</t>
  </si>
  <si>
    <t>bolsa craft café</t>
  </si>
  <si>
    <t>Catalina Cardenas</t>
  </si>
  <si>
    <t>Karina Cisternas</t>
  </si>
  <si>
    <t>Antonia Aparicio</t>
  </si>
  <si>
    <t>Karina Vergara</t>
  </si>
  <si>
    <t>Javierna Nova</t>
  </si>
  <si>
    <t>Ig wiyu.cl</t>
  </si>
  <si>
    <t>Claudia</t>
  </si>
  <si>
    <t xml:space="preserve">Bolsa café </t>
  </si>
  <si>
    <t>Pauly Saavedra</t>
  </si>
  <si>
    <t>Bolsa café Grande</t>
  </si>
  <si>
    <t>Constanza Dumas</t>
  </si>
  <si>
    <t>Lizette</t>
  </si>
  <si>
    <t>@lizeeetta</t>
  </si>
  <si>
    <t>Pagado 9 mil efectivp</t>
  </si>
  <si>
    <t>Pilo</t>
  </si>
  <si>
    <t>ig nakedpili</t>
  </si>
  <si>
    <t>ig bridges.burned_</t>
  </si>
  <si>
    <t>Cecilia</t>
  </si>
  <si>
    <t>Por Pagar 4500</t>
  </si>
  <si>
    <t>Bolsita Chica café</t>
  </si>
  <si>
    <t>Gabriel Sepulveda</t>
  </si>
  <si>
    <t>Bolsa Café Titere</t>
  </si>
  <si>
    <t>Alejandra Iturra</t>
  </si>
  <si>
    <t>Jorge Vidal</t>
  </si>
  <si>
    <t>Por pagar</t>
  </si>
  <si>
    <t>Natalie Aguilera</t>
  </si>
  <si>
    <t>StickyClau</t>
  </si>
  <si>
    <t>María Belen</t>
  </si>
  <si>
    <t>mabel26</t>
  </si>
  <si>
    <t>Bolsa kraft plana</t>
  </si>
  <si>
    <t>Ninoska Reyes</t>
  </si>
  <si>
    <t>nini constanza</t>
  </si>
  <si>
    <t xml:space="preserve">B2 </t>
  </si>
  <si>
    <t>Amelia Fariñé</t>
  </si>
  <si>
    <t>por pagar 11 mil (pagado efectivo)</t>
  </si>
  <si>
    <t>francisca condeza</t>
  </si>
  <si>
    <t>Bolsa kraft plana grande</t>
  </si>
  <si>
    <t>yessica guitierrez</t>
  </si>
  <si>
    <t>venta con tarjeta</t>
  </si>
  <si>
    <t>por pagar 7000</t>
  </si>
  <si>
    <t>elizabeth oñate</t>
  </si>
  <si>
    <t>pamela constanzo</t>
  </si>
  <si>
    <t>bolsa kraf</t>
  </si>
  <si>
    <t>isidora guiterrez</t>
  </si>
  <si>
    <t>hanamichi</t>
  </si>
  <si>
    <t>barbara muñoz</t>
  </si>
  <si>
    <t>Francisco olivares</t>
  </si>
  <si>
    <t>angie pezo</t>
  </si>
  <si>
    <t>pablo fuentes</t>
  </si>
  <si>
    <t>por pagar 14000</t>
  </si>
  <si>
    <t>bolsa blanca pequeña</t>
  </si>
  <si>
    <t>Devuelto a carpeta</t>
  </si>
  <si>
    <t>Valeria mendoza</t>
  </si>
  <si>
    <t>pricilla mercado</t>
  </si>
  <si>
    <t>katherine rojas compillai</t>
  </si>
  <si>
    <t>ternuroide</t>
  </si>
  <si>
    <t>PAGAR ACA</t>
  </si>
  <si>
    <t>fafi</t>
  </si>
  <si>
    <t>Fafi</t>
  </si>
  <si>
    <t>por pagar 19.990</t>
  </si>
  <si>
    <t>Marielli</t>
  </si>
  <si>
    <t>Caja plástica</t>
  </si>
  <si>
    <t>Carolina Catalán</t>
  </si>
  <si>
    <t xml:space="preserve">patricia </t>
  </si>
  <si>
    <t>ig _liw.ko_</t>
  </si>
  <si>
    <t>maria jose salfate</t>
  </si>
  <si>
    <t>camila manqui</t>
  </si>
  <si>
    <t>bolsa kraft mdiana</t>
  </si>
  <si>
    <t>Diego Matus</t>
  </si>
  <si>
    <t>Seba</t>
  </si>
  <si>
    <t>Cartón</t>
  </si>
  <si>
    <t>Tenshi</t>
  </si>
  <si>
    <t>@vandeqx</t>
  </si>
  <si>
    <t>Bolsita chistosa de colores</t>
  </si>
  <si>
    <t>sebastian becerra</t>
  </si>
  <si>
    <t>camila solar</t>
  </si>
  <si>
    <t>18.690.903-8</t>
  </si>
  <si>
    <t>BOLSA CAFE</t>
  </si>
  <si>
    <t>Fran Inzunza</t>
  </si>
  <si>
    <t>bolsa café manilla</t>
  </si>
  <si>
    <t>Evelyn</t>
  </si>
  <si>
    <t>ig lachikisays</t>
  </si>
  <si>
    <t>tamara</t>
  </si>
  <si>
    <t>annais</t>
  </si>
  <si>
    <t>Leti</t>
  </si>
  <si>
    <t>rene alarcon</t>
  </si>
  <si>
    <t>caja plastica grande</t>
  </si>
  <si>
    <t>ignacio reyes</t>
  </si>
  <si>
    <t>natalia aedo</t>
  </si>
  <si>
    <t>darlyn hernandez</t>
  </si>
  <si>
    <t>kraft caja</t>
  </si>
  <si>
    <t>TENSHI</t>
  </si>
  <si>
    <t>STRAWBERRY.CCP</t>
  </si>
  <si>
    <t>REGALO</t>
  </si>
  <si>
    <t>STICKyclau</t>
  </si>
  <si>
    <t>DYLAN</t>
  </si>
  <si>
    <t>POR PAGAR 17.000</t>
  </si>
  <si>
    <t>SKARLET</t>
  </si>
  <si>
    <t>gustavo valenzuela</t>
  </si>
  <si>
    <t xml:space="preserve">agus </t>
  </si>
  <si>
    <t>569 83111905</t>
  </si>
  <si>
    <t>BOLSA VERDE</t>
  </si>
  <si>
    <t>TITEREmania</t>
  </si>
  <si>
    <t>JOCKELINE ORTEGA</t>
  </si>
  <si>
    <t>FRANCISCA GONZALES</t>
  </si>
  <si>
    <t>Pamela Campos</t>
  </si>
  <si>
    <t>Paquete envuelto en verde</t>
  </si>
  <si>
    <t>lisette aguilera</t>
  </si>
  <si>
    <t>jovina aguayo</t>
  </si>
  <si>
    <t>carlos agurto</t>
  </si>
  <si>
    <t>dante albornoz</t>
  </si>
  <si>
    <t>karen lara</t>
  </si>
  <si>
    <t>por pagar preguntar</t>
  </si>
  <si>
    <t>valeska belmar</t>
  </si>
  <si>
    <t>andrea palma</t>
  </si>
  <si>
    <t>nicolas jofre</t>
  </si>
  <si>
    <t>carlos avlenzuela sanzana</t>
  </si>
  <si>
    <t>caja</t>
  </si>
  <si>
    <t>por pagar 5000</t>
  </si>
  <si>
    <t>sergio pradena</t>
  </si>
  <si>
    <t>jenifer salas</t>
  </si>
  <si>
    <t>maye vinet</t>
  </si>
  <si>
    <t>Valeska zuñiga</t>
  </si>
  <si>
    <t>alonso aranda</t>
  </si>
  <si>
    <t>nicole puelpan</t>
  </si>
  <si>
    <t>rode rivas</t>
  </si>
  <si>
    <t>pablo mella</t>
  </si>
  <si>
    <t>Francisca gonzales</t>
  </si>
  <si>
    <t>karina navarro</t>
  </si>
  <si>
    <t>francisca aedo</t>
  </si>
  <si>
    <t>Alejandra Chavez</t>
  </si>
  <si>
    <t>niñamala</t>
  </si>
  <si>
    <t>Angie pezo</t>
  </si>
  <si>
    <t>bolsita chiquita</t>
  </si>
  <si>
    <t>Animun</t>
  </si>
  <si>
    <t>nicole neira</t>
  </si>
  <si>
    <t>constanza molina</t>
  </si>
  <si>
    <t>nicole opazo</t>
  </si>
  <si>
    <t>titEREmania</t>
  </si>
  <si>
    <t>belen vidal</t>
  </si>
  <si>
    <t>paulina reyes</t>
  </si>
  <si>
    <t>victor delgado</t>
  </si>
  <si>
    <t>CAROLINA CATALAN</t>
  </si>
  <si>
    <t>CAJA CAFE</t>
  </si>
  <si>
    <t>amelia garcia</t>
  </si>
  <si>
    <t>puede sacar estuche</t>
  </si>
  <si>
    <t>Lau arjomedo</t>
  </si>
  <si>
    <t>mochila negra</t>
  </si>
  <si>
    <t>vale Sanchez</t>
  </si>
  <si>
    <t>bolsa blanca pequeñita</t>
  </si>
  <si>
    <t>bolsa kraft mediana con manilla</t>
  </si>
  <si>
    <t>antonia cabrera</t>
  </si>
  <si>
    <t>ninoska</t>
  </si>
  <si>
    <t>@ninoalexandra</t>
  </si>
  <si>
    <t>bolsa kraft regular</t>
  </si>
  <si>
    <t>paulina cepeda</t>
  </si>
  <si>
    <t>kraft raro con postit</t>
  </si>
  <si>
    <t>ig: eyeplaguee</t>
  </si>
  <si>
    <t>joaquin olate</t>
  </si>
  <si>
    <t>francisca amparo</t>
  </si>
  <si>
    <t>bolsa dibujitos</t>
  </si>
  <si>
    <t>maury</t>
  </si>
  <si>
    <t>carpeta azul</t>
  </si>
  <si>
    <t>antonia campos</t>
  </si>
  <si>
    <t>bolsita roja navidad</t>
  </si>
  <si>
    <t xml:space="preserve"> romi</t>
  </si>
  <si>
    <t>cris</t>
  </si>
  <si>
    <t>melisa saragoza</t>
  </si>
  <si>
    <t>Carla Soto Aguilar</t>
  </si>
  <si>
    <t xml:space="preserve">agustin </t>
  </si>
  <si>
    <t>stephanie</t>
  </si>
  <si>
    <t>lesty tapia</t>
  </si>
  <si>
    <t>@leslytapiaovalle</t>
  </si>
  <si>
    <t>bolsa grande negra</t>
  </si>
  <si>
    <t>tamara cabezas</t>
  </si>
  <si>
    <t>@tamicrr</t>
  </si>
  <si>
    <t>alvaro Barrientos</t>
  </si>
  <si>
    <t>Soledad Abasolo</t>
  </si>
  <si>
    <t>bolsa kraft pequeña - queda junto a caja grande para misma persona</t>
  </si>
  <si>
    <t>Catalina Parra</t>
  </si>
  <si>
    <t>ig chrysopeleia</t>
  </si>
  <si>
    <t>Bolsa café tras cortina</t>
  </si>
  <si>
    <t>ALE</t>
  </si>
  <si>
    <t>cecilia urra</t>
  </si>
  <si>
    <t>ig cecivone</t>
  </si>
  <si>
    <t>bolsa kraft manillas casa mark</t>
  </si>
  <si>
    <t>Camila Palma</t>
  </si>
  <si>
    <t>@_antinatura</t>
  </si>
  <si>
    <t>maria jose saavedra</t>
  </si>
  <si>
    <t>bolsita pastel postit rosado</t>
  </si>
  <si>
    <t>animun</t>
  </si>
  <si>
    <t>ampy mendoza</t>
  </si>
  <si>
    <t xml:space="preserve">por pagar </t>
  </si>
  <si>
    <t>jose san martin</t>
  </si>
  <si>
    <t xml:space="preserve">transparente </t>
  </si>
  <si>
    <t xml:space="preserve">paso los 7 dias </t>
  </si>
  <si>
    <t>NO ESTA</t>
  </si>
  <si>
    <t>franchesca</t>
  </si>
  <si>
    <t>Anto Fuentealba</t>
  </si>
  <si>
    <t>frances</t>
  </si>
  <si>
    <t>Luis López</t>
  </si>
  <si>
    <t>Cafa Cubica café</t>
  </si>
  <si>
    <t>luzbel</t>
  </si>
  <si>
    <t>venció el plazo</t>
  </si>
  <si>
    <t>cartitas</t>
  </si>
  <si>
    <t xml:space="preserve">Otter </t>
  </si>
  <si>
    <t>bolso</t>
  </si>
  <si>
    <t>Ana Sofia</t>
  </si>
  <si>
    <t>ig anacastrito</t>
  </si>
  <si>
    <t>Bolsa grande Café con Numero 2</t>
  </si>
  <si>
    <t>francisca poblete</t>
  </si>
  <si>
    <t>blsa blanca hm</t>
  </si>
  <si>
    <t>Carol Alarcón</t>
  </si>
  <si>
    <t>Dan</t>
  </si>
  <si>
    <t>Natalie</t>
  </si>
  <si>
    <t>Javi Morales</t>
  </si>
  <si>
    <t>PENDIENTE CONFIRMAR</t>
  </si>
  <si>
    <t>Bolsa kraft chica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</si>
</sst>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d/mm"/>
    <numFmt numFmtId="165" formatCode="d mmm"/>
    <numFmt numFmtId="166" formatCode="d/mmmm"/>
    <numFmt numFmtId="167" formatCode="d mmmm"/>
    <numFmt numFmtId="168" formatCode="dd mmmm"/>
    <numFmt numFmtId="169" formatCode="dmmmm"/>
    <numFmt numFmtId="170" formatCode="dd mmm"/>
    <numFmt numFmtId="171" formatCode="d/m"/>
    <numFmt numFmtId="172" formatCode="dmmm"/>
    <numFmt numFmtId="173" formatCode="dd/ mmmm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6FA8DC"/>
        <bgColor rgb="FF6FA8DC"/>
      </patternFill>
    </fill>
    <fill>
      <patternFill patternType="solid">
        <fgColor rgb="FFE06666"/>
        <bgColor rgb="FFE06666"/>
      </patternFill>
    </fill>
    <fill>
      <patternFill patternType="solid">
        <fgColor rgb="FFF6B26B"/>
        <bgColor rgb="FFF6B26B"/>
      </patternFill>
    </fill>
    <fill>
      <patternFill patternType="solid">
        <fgColor rgb="FFFFE599"/>
        <bgColor rgb="FFFFE599"/>
      </patternFill>
    </fill>
    <fill>
      <patternFill patternType="solid">
        <fgColor rgb="FFCC4125"/>
        <bgColor rgb="FFCC4125"/>
      </patternFill>
    </fill>
    <fill>
      <patternFill patternType="solid">
        <fgColor rgb="FFB4A7D6"/>
        <bgColor rgb="FFB4A7D6"/>
      </patternFill>
    </fill>
    <fill>
      <patternFill patternType="solid">
        <fgColor rgb="FFA095BE"/>
        <bgColor rgb="FFA095BE"/>
      </patternFill>
    </fill>
    <fill>
      <patternFill patternType="solid">
        <fgColor rgb="FFEAD1DC"/>
        <bgColor rgb="FFEAD1DC"/>
      </patternFill>
    </fill>
    <fill>
      <patternFill patternType="solid">
        <fgColor rgb="FF8E7CC3"/>
        <bgColor rgb="FF8E7CC3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C27BA0"/>
        <bgColor rgb="FFC27BA0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ck">
        <color rgb="FF000000"/>
      </top>
    </border>
    <border>
      <left style="thin">
        <color rgb="FF000000"/>
      </lef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2" fillId="0" fontId="1" numFmtId="0" xfId="0" applyBorder="1" applyFont="1"/>
    <xf borderId="2" fillId="0" fontId="1" numFmtId="0" xfId="0" applyAlignment="1" applyBorder="1" applyFont="1">
      <alignment readingOrder="0"/>
    </xf>
    <xf borderId="2" fillId="2" fontId="1" numFmtId="0" xfId="0" applyAlignment="1" applyBorder="1" applyFill="1" applyFont="1">
      <alignment readingOrder="0"/>
    </xf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4" fillId="0" fontId="1" numFmtId="164" xfId="0" applyAlignment="1" applyBorder="1" applyFont="1" applyNumberFormat="1">
      <alignment readingOrder="0"/>
    </xf>
    <xf borderId="4" fillId="3" fontId="1" numFmtId="165" xfId="0" applyAlignment="1" applyBorder="1" applyFill="1" applyFont="1" applyNumberFormat="1">
      <alignment readingOrder="0"/>
    </xf>
    <xf borderId="0" fillId="0" fontId="1" numFmtId="166" xfId="0" applyAlignment="1" applyFont="1" applyNumberFormat="1">
      <alignment readingOrder="0"/>
    </xf>
    <xf borderId="5" fillId="0" fontId="1" numFmtId="0" xfId="0" applyAlignment="1" applyBorder="1" applyFont="1">
      <alignment readingOrder="0"/>
    </xf>
    <xf borderId="6" fillId="0" fontId="1" numFmtId="0" xfId="0" applyBorder="1" applyFont="1"/>
    <xf borderId="6" fillId="4" fontId="1" numFmtId="165" xfId="0" applyAlignment="1" applyBorder="1" applyFill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5" fontId="1" numFmtId="0" xfId="0" applyFill="1" applyFont="1"/>
    <xf borderId="7" fillId="0" fontId="1" numFmtId="0" xfId="0" applyAlignment="1" applyBorder="1" applyFont="1">
      <alignment readingOrder="0"/>
    </xf>
    <xf borderId="7" fillId="3" fontId="1" numFmtId="0" xfId="0" applyAlignment="1" applyBorder="1" applyFont="1">
      <alignment readingOrder="0"/>
    </xf>
    <xf borderId="7" fillId="6" fontId="1" numFmtId="0" xfId="0" applyAlignment="1" applyBorder="1" applyFill="1" applyFont="1">
      <alignment readingOrder="0"/>
    </xf>
    <xf borderId="7" fillId="7" fontId="1" numFmtId="0" xfId="0" applyAlignment="1" applyBorder="1" applyFill="1" applyFont="1">
      <alignment readingOrder="0"/>
    </xf>
    <xf borderId="7" fillId="8" fontId="1" numFmtId="0" xfId="0" applyAlignment="1" applyBorder="1" applyFill="1" applyFont="1">
      <alignment readingOrder="0"/>
    </xf>
    <xf borderId="8" fillId="8" fontId="1" numFmtId="0" xfId="0" applyAlignment="1" applyBorder="1" applyFont="1">
      <alignment readingOrder="0"/>
    </xf>
    <xf borderId="9" fillId="8" fontId="1" numFmtId="0" xfId="0" applyAlignment="1" applyBorder="1" applyFont="1">
      <alignment readingOrder="0"/>
    </xf>
    <xf borderId="0" fillId="9" fontId="1" numFmtId="0" xfId="0" applyFill="1" applyFont="1"/>
    <xf borderId="10" fillId="0" fontId="1" numFmtId="167" xfId="0" applyAlignment="1" applyBorder="1" applyFont="1" applyNumberFormat="1">
      <alignment readingOrder="0"/>
    </xf>
    <xf borderId="4" fillId="0" fontId="1" numFmtId="0" xfId="0" applyBorder="1" applyFont="1"/>
    <xf borderId="3" fillId="0" fontId="1" numFmtId="0" xfId="0" applyBorder="1" applyFont="1"/>
    <xf borderId="10" fillId="0" fontId="1" numFmtId="165" xfId="0" applyAlignment="1" applyBorder="1" applyFont="1" applyNumberFormat="1">
      <alignment readingOrder="0"/>
    </xf>
    <xf borderId="10" fillId="0" fontId="1" numFmtId="168" xfId="0" applyAlignment="1" applyBorder="1" applyFont="1" applyNumberFormat="1">
      <alignment readingOrder="0"/>
    </xf>
    <xf borderId="10" fillId="0" fontId="1" numFmtId="164" xfId="0" applyAlignment="1" applyBorder="1" applyFont="1" applyNumberFormat="1">
      <alignment readingOrder="0"/>
    </xf>
    <xf borderId="4" fillId="7" fontId="1" numFmtId="0" xfId="0" applyAlignment="1" applyBorder="1" applyFont="1">
      <alignment readingOrder="0"/>
    </xf>
    <xf borderId="4" fillId="10" fontId="1" numFmtId="0" xfId="0" applyAlignment="1" applyBorder="1" applyFill="1" applyFont="1">
      <alignment readingOrder="0"/>
    </xf>
    <xf borderId="10" fillId="11" fontId="1" numFmtId="167" xfId="0" applyAlignment="1" applyBorder="1" applyFill="1" applyFont="1" applyNumberFormat="1">
      <alignment readingOrder="0"/>
    </xf>
    <xf borderId="0" fillId="11" fontId="1" numFmtId="0" xfId="0" applyAlignment="1" applyFont="1">
      <alignment readingOrder="0"/>
    </xf>
    <xf borderId="4" fillId="11" fontId="1" numFmtId="0" xfId="0" applyBorder="1" applyFont="1"/>
    <xf borderId="4" fillId="11" fontId="1" numFmtId="0" xfId="0" applyAlignment="1" applyBorder="1" applyFont="1">
      <alignment readingOrder="0"/>
    </xf>
    <xf borderId="0" fillId="11" fontId="1" numFmtId="167" xfId="0" applyAlignment="1" applyFont="1" applyNumberFormat="1">
      <alignment readingOrder="0"/>
    </xf>
    <xf borderId="10" fillId="9" fontId="1" numFmtId="167" xfId="0" applyAlignment="1" applyBorder="1" applyFont="1" applyNumberFormat="1">
      <alignment readingOrder="0"/>
    </xf>
    <xf borderId="0" fillId="9" fontId="1" numFmtId="0" xfId="0" applyAlignment="1" applyFont="1">
      <alignment readingOrder="0"/>
    </xf>
    <xf borderId="4" fillId="9" fontId="1" numFmtId="0" xfId="0" applyBorder="1" applyFont="1"/>
    <xf borderId="4" fillId="9" fontId="1" numFmtId="0" xfId="0" applyAlignment="1" applyBorder="1" applyFont="1">
      <alignment readingOrder="0"/>
    </xf>
    <xf borderId="10" fillId="9" fontId="1" numFmtId="168" xfId="0" applyAlignment="1" applyBorder="1" applyFont="1" applyNumberFormat="1">
      <alignment readingOrder="0"/>
    </xf>
    <xf borderId="10" fillId="11" fontId="1" numFmtId="168" xfId="0" applyAlignment="1" applyBorder="1" applyFont="1" applyNumberFormat="1">
      <alignment readingOrder="0"/>
    </xf>
    <xf borderId="0" fillId="11" fontId="1" numFmtId="168" xfId="0" applyAlignment="1" applyFont="1" applyNumberFormat="1">
      <alignment readingOrder="0"/>
    </xf>
    <xf borderId="10" fillId="11" fontId="1" numFmtId="0" xfId="0" applyAlignment="1" applyBorder="1" applyFont="1">
      <alignment readingOrder="0"/>
    </xf>
    <xf borderId="0" fillId="11" fontId="1" numFmtId="0" xfId="0" applyFont="1"/>
    <xf borderId="0" fillId="0" fontId="1" numFmtId="167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10" fillId="0" fontId="1" numFmtId="0" xfId="0" applyBorder="1" applyFont="1"/>
    <xf borderId="10" fillId="0" fontId="1" numFmtId="0" xfId="0" applyAlignment="1" applyBorder="1" applyFont="1">
      <alignment readingOrder="0"/>
    </xf>
    <xf borderId="0" fillId="3" fontId="1" numFmtId="0" xfId="0" applyAlignment="1" applyFont="1">
      <alignment readingOrder="0"/>
    </xf>
    <xf borderId="4" fillId="3" fontId="1" numFmtId="0" xfId="0" applyAlignment="1" applyBorder="1" applyFont="1">
      <alignment readingOrder="0"/>
    </xf>
    <xf borderId="0" fillId="6" fontId="1" numFmtId="0" xfId="0" applyAlignment="1" applyFont="1">
      <alignment readingOrder="0"/>
    </xf>
    <xf borderId="4" fillId="6" fontId="1" numFmtId="0" xfId="0" applyAlignment="1" applyBorder="1" applyFont="1">
      <alignment readingOrder="0"/>
    </xf>
    <xf borderId="0" fillId="8" fontId="1" numFmtId="0" xfId="0" applyAlignment="1" applyFont="1">
      <alignment readingOrder="0"/>
    </xf>
    <xf borderId="10" fillId="11" fontId="1" numFmtId="170" xfId="0" applyAlignment="1" applyBorder="1" applyFont="1" applyNumberFormat="1">
      <alignment readingOrder="0"/>
    </xf>
    <xf borderId="0" fillId="11" fontId="1" numFmtId="164" xfId="0" applyAlignment="1" applyFont="1" applyNumberFormat="1">
      <alignment readingOrder="0"/>
    </xf>
    <xf borderId="0" fillId="11" fontId="1" numFmtId="165" xfId="0" applyAlignment="1" applyFont="1" applyNumberFormat="1">
      <alignment readingOrder="0"/>
    </xf>
    <xf borderId="0" fillId="12" fontId="1" numFmtId="0" xfId="0" applyFill="1" applyFont="1"/>
    <xf borderId="10" fillId="12" fontId="1" numFmtId="170" xfId="0" applyAlignment="1" applyBorder="1" applyFont="1" applyNumberFormat="1">
      <alignment readingOrder="0"/>
    </xf>
    <xf borderId="0" fillId="12" fontId="1" numFmtId="0" xfId="0" applyAlignment="1" applyFont="1">
      <alignment readingOrder="0"/>
    </xf>
    <xf borderId="4" fillId="12" fontId="1" numFmtId="0" xfId="0" applyBorder="1" applyFont="1"/>
    <xf borderId="4" fillId="12" fontId="1" numFmtId="0" xfId="0" applyAlignment="1" applyBorder="1" applyFont="1">
      <alignment readingOrder="0"/>
    </xf>
    <xf borderId="0" fillId="12" fontId="1" numFmtId="164" xfId="0" applyAlignment="1" applyFont="1" applyNumberFormat="1">
      <alignment readingOrder="0"/>
    </xf>
    <xf borderId="10" fillId="5" fontId="1" numFmtId="164" xfId="0" applyAlignment="1" applyBorder="1" applyFont="1" applyNumberFormat="1">
      <alignment readingOrder="0"/>
    </xf>
    <xf borderId="0" fillId="5" fontId="1" numFmtId="0" xfId="0" applyAlignment="1" applyFont="1">
      <alignment readingOrder="0"/>
    </xf>
    <xf borderId="4" fillId="5" fontId="1" numFmtId="0" xfId="0" applyBorder="1" applyFont="1"/>
    <xf borderId="4" fillId="5" fontId="1" numFmtId="0" xfId="0" applyAlignment="1" applyBorder="1" applyFont="1">
      <alignment readingOrder="0"/>
    </xf>
    <xf borderId="0" fillId="5" fontId="1" numFmtId="164" xfId="0" applyAlignment="1" applyFont="1" applyNumberFormat="1">
      <alignment readingOrder="0"/>
    </xf>
    <xf borderId="10" fillId="11" fontId="1" numFmtId="164" xfId="0" applyAlignment="1" applyBorder="1" applyFont="1" applyNumberFormat="1">
      <alignment readingOrder="0"/>
    </xf>
    <xf borderId="0" fillId="11" fontId="1" numFmtId="171" xfId="0" applyAlignment="1" applyFont="1" applyNumberFormat="1">
      <alignment readingOrder="0"/>
    </xf>
    <xf borderId="10" fillId="13" fontId="1" numFmtId="164" xfId="0" applyAlignment="1" applyBorder="1" applyFill="1" applyFont="1" applyNumberFormat="1">
      <alignment readingOrder="0"/>
    </xf>
    <xf borderId="0" fillId="13" fontId="1" numFmtId="0" xfId="0" applyAlignment="1" applyFont="1">
      <alignment readingOrder="0"/>
    </xf>
    <xf borderId="4" fillId="13" fontId="1" numFmtId="0" xfId="0" applyBorder="1" applyFont="1"/>
    <xf borderId="4" fillId="13" fontId="1" numFmtId="0" xfId="0" applyAlignment="1" applyBorder="1" applyFont="1">
      <alignment readingOrder="0"/>
    </xf>
    <xf borderId="0" fillId="13" fontId="1" numFmtId="164" xfId="0" applyAlignment="1" applyFont="1" applyNumberFormat="1">
      <alignment readingOrder="0"/>
    </xf>
    <xf borderId="10" fillId="11" fontId="1" numFmtId="165" xfId="0" applyAlignment="1" applyBorder="1" applyFont="1" applyNumberFormat="1">
      <alignment readingOrder="0"/>
    </xf>
    <xf borderId="10" fillId="12" fontId="1" numFmtId="165" xfId="0" applyAlignment="1" applyBorder="1" applyFont="1" applyNumberFormat="1">
      <alignment readingOrder="0"/>
    </xf>
    <xf borderId="0" fillId="12" fontId="1" numFmtId="167" xfId="0" applyAlignment="1" applyFont="1" applyNumberFormat="1">
      <alignment readingOrder="0"/>
    </xf>
    <xf borderId="0" fillId="12" fontId="1" numFmtId="165" xfId="0" applyAlignment="1" applyFont="1" applyNumberFormat="1">
      <alignment readingOrder="0"/>
    </xf>
    <xf borderId="0" fillId="11" fontId="2" numFmtId="0" xfId="0" applyAlignment="1" applyFont="1">
      <alignment vertical="bottom"/>
    </xf>
    <xf borderId="10" fillId="11" fontId="2" numFmtId="164" xfId="0" applyAlignment="1" applyBorder="1" applyFont="1" applyNumberFormat="1">
      <alignment horizontal="right" vertical="bottom"/>
    </xf>
    <xf borderId="0" fillId="11" fontId="2" numFmtId="0" xfId="0" applyAlignment="1" applyFont="1">
      <alignment vertical="bottom"/>
    </xf>
    <xf borderId="4" fillId="11" fontId="2" numFmtId="0" xfId="0" applyAlignment="1" applyBorder="1" applyFont="1">
      <alignment vertical="bottom"/>
    </xf>
    <xf borderId="4" fillId="11" fontId="2" numFmtId="0" xfId="0" applyAlignment="1" applyBorder="1" applyFont="1">
      <alignment vertical="bottom"/>
    </xf>
    <xf borderId="0" fillId="11" fontId="2" numFmtId="167" xfId="0" applyAlignment="1" applyFont="1" applyNumberFormat="1">
      <alignment horizontal="right" vertical="bottom"/>
    </xf>
    <xf borderId="0" fillId="12" fontId="2" numFmtId="0" xfId="0" applyAlignment="1" applyFont="1">
      <alignment vertical="bottom"/>
    </xf>
    <xf borderId="10" fillId="12" fontId="2" numFmtId="165" xfId="0" applyAlignment="1" applyBorder="1" applyFont="1" applyNumberFormat="1">
      <alignment horizontal="right" vertical="bottom"/>
    </xf>
    <xf borderId="0" fillId="12" fontId="2" numFmtId="0" xfId="0" applyAlignment="1" applyFont="1">
      <alignment vertical="bottom"/>
    </xf>
    <xf borderId="4" fillId="12" fontId="2" numFmtId="0" xfId="0" applyAlignment="1" applyBorder="1" applyFont="1">
      <alignment vertical="bottom"/>
    </xf>
    <xf borderId="4" fillId="12" fontId="2" numFmtId="0" xfId="0" applyAlignment="1" applyBorder="1" applyFont="1">
      <alignment vertical="bottom"/>
    </xf>
    <xf borderId="0" fillId="12" fontId="2" numFmtId="167" xfId="0" applyAlignment="1" applyFont="1" applyNumberFormat="1">
      <alignment horizontal="right" vertical="bottom"/>
    </xf>
    <xf borderId="0" fillId="5" fontId="2" numFmtId="0" xfId="0" applyAlignment="1" applyFont="1">
      <alignment vertical="bottom"/>
    </xf>
    <xf borderId="10" fillId="5" fontId="2" numFmtId="167" xfId="0" applyAlignment="1" applyBorder="1" applyFont="1" applyNumberFormat="1">
      <alignment horizontal="right" vertical="bottom"/>
    </xf>
    <xf borderId="0" fillId="5" fontId="2" numFmtId="0" xfId="0" applyAlignment="1" applyFont="1">
      <alignment vertical="bottom"/>
    </xf>
    <xf borderId="4" fillId="5" fontId="2" numFmtId="0" xfId="0" applyAlignment="1" applyBorder="1" applyFont="1">
      <alignment vertical="bottom"/>
    </xf>
    <xf borderId="0" fillId="5" fontId="2" numFmtId="167" xfId="0" applyAlignment="1" applyFont="1" applyNumberFormat="1">
      <alignment horizontal="right" vertical="bottom"/>
    </xf>
    <xf borderId="10" fillId="11" fontId="2" numFmtId="167" xfId="0" applyAlignment="1" applyBorder="1" applyFont="1" applyNumberFormat="1">
      <alignment horizontal="right" vertical="bottom"/>
    </xf>
    <xf borderId="0" fillId="11" fontId="2" numFmtId="165" xfId="0" applyAlignment="1" applyFont="1" applyNumberFormat="1">
      <alignment horizontal="right" vertical="bottom"/>
    </xf>
    <xf borderId="4" fillId="5" fontId="2" numFmtId="0" xfId="0" applyAlignment="1" applyBorder="1" applyFont="1">
      <alignment vertical="bottom"/>
    </xf>
    <xf borderId="10" fillId="12" fontId="1" numFmtId="167" xfId="0" applyAlignment="1" applyBorder="1" applyFont="1" applyNumberFormat="1">
      <alignment readingOrder="0"/>
    </xf>
    <xf borderId="10" fillId="11" fontId="2" numFmtId="165" xfId="0" applyAlignment="1" applyBorder="1" applyFont="1" applyNumberFormat="1">
      <alignment horizontal="right" vertical="bottom"/>
    </xf>
    <xf borderId="0" fillId="12" fontId="2" numFmtId="165" xfId="0" applyAlignment="1" applyFont="1" applyNumberFormat="1">
      <alignment horizontal="right" vertical="bottom"/>
    </xf>
    <xf borderId="10" fillId="5" fontId="1" numFmtId="165" xfId="0" applyAlignment="1" applyBorder="1" applyFont="1" applyNumberFormat="1">
      <alignment readingOrder="0"/>
    </xf>
    <xf borderId="10" fillId="12" fontId="2" numFmtId="167" xfId="0" applyAlignment="1" applyBorder="1" applyFont="1" applyNumberFormat="1">
      <alignment horizontal="right" vertical="bottom"/>
    </xf>
    <xf borderId="10" fillId="5" fontId="1" numFmtId="167" xfId="0" applyAlignment="1" applyBorder="1" applyFont="1" applyNumberFormat="1">
      <alignment readingOrder="0"/>
    </xf>
    <xf borderId="0" fillId="11" fontId="1" numFmtId="170" xfId="0" applyAlignment="1" applyFont="1" applyNumberFormat="1">
      <alignment readingOrder="0"/>
    </xf>
    <xf borderId="0" fillId="12" fontId="1" numFmtId="170" xfId="0" applyAlignment="1" applyFont="1" applyNumberFormat="1">
      <alignment readingOrder="0"/>
    </xf>
    <xf borderId="10" fillId="5" fontId="1" numFmtId="170" xfId="0" applyAlignment="1" applyBorder="1" applyFont="1" applyNumberFormat="1">
      <alignment readingOrder="0"/>
    </xf>
    <xf borderId="0" fillId="5" fontId="1" numFmtId="170" xfId="0" applyAlignment="1" applyFont="1" applyNumberFormat="1">
      <alignment readingOrder="0"/>
    </xf>
    <xf borderId="0" fillId="14" fontId="1" numFmtId="0" xfId="0" applyFill="1" applyFont="1"/>
    <xf borderId="10" fillId="14" fontId="1" numFmtId="170" xfId="0" applyAlignment="1" applyBorder="1" applyFont="1" applyNumberFormat="1">
      <alignment readingOrder="0"/>
    </xf>
    <xf borderId="0" fillId="14" fontId="1" numFmtId="0" xfId="0" applyAlignment="1" applyFont="1">
      <alignment readingOrder="0"/>
    </xf>
    <xf borderId="4" fillId="14" fontId="1" numFmtId="0" xfId="0" applyAlignment="1" applyBorder="1" applyFont="1">
      <alignment readingOrder="0"/>
    </xf>
    <xf borderId="4" fillId="14" fontId="1" numFmtId="0" xfId="0" applyBorder="1" applyFont="1"/>
    <xf borderId="0" fillId="14" fontId="1" numFmtId="164" xfId="0" applyAlignment="1" applyFont="1" applyNumberFormat="1">
      <alignment readingOrder="0"/>
    </xf>
    <xf borderId="10" fillId="14" fontId="1" numFmtId="165" xfId="0" applyAlignment="1" applyBorder="1" applyFont="1" applyNumberFormat="1">
      <alignment readingOrder="0"/>
    </xf>
    <xf borderId="0" fillId="14" fontId="1" numFmtId="165" xfId="0" applyAlignment="1" applyFont="1" applyNumberFormat="1">
      <alignment readingOrder="0"/>
    </xf>
    <xf borderId="0" fillId="15" fontId="1" numFmtId="0" xfId="0" applyFill="1" applyFont="1"/>
    <xf borderId="10" fillId="15" fontId="1" numFmtId="165" xfId="0" applyAlignment="1" applyBorder="1" applyFont="1" applyNumberFormat="1">
      <alignment readingOrder="0"/>
    </xf>
    <xf borderId="0" fillId="15" fontId="1" numFmtId="0" xfId="0" applyAlignment="1" applyFont="1">
      <alignment readingOrder="0"/>
    </xf>
    <xf borderId="4" fillId="15" fontId="1" numFmtId="0" xfId="0" applyBorder="1" applyFont="1"/>
    <xf borderId="4" fillId="15" fontId="1" numFmtId="0" xfId="0" applyAlignment="1" applyBorder="1" applyFont="1">
      <alignment readingOrder="0"/>
    </xf>
    <xf borderId="0" fillId="15" fontId="1" numFmtId="165" xfId="0" applyAlignment="1" applyFont="1" applyNumberFormat="1">
      <alignment readingOrder="0"/>
    </xf>
    <xf borderId="0" fillId="5" fontId="1" numFmtId="165" xfId="0" applyAlignment="1" applyFont="1" applyNumberFormat="1">
      <alignment readingOrder="0"/>
    </xf>
    <xf borderId="10" fillId="11" fontId="2" numFmtId="170" xfId="0" applyAlignment="1" applyBorder="1" applyFont="1" applyNumberFormat="1">
      <alignment horizontal="right" vertical="bottom"/>
    </xf>
    <xf borderId="0" fillId="10" fontId="2" numFmtId="0" xfId="0" applyAlignment="1" applyFont="1">
      <alignment vertical="bottom"/>
    </xf>
    <xf borderId="10" fillId="10" fontId="2" numFmtId="170" xfId="0" applyAlignment="1" applyBorder="1" applyFont="1" applyNumberFormat="1">
      <alignment horizontal="right" vertical="bottom"/>
    </xf>
    <xf borderId="0" fillId="10" fontId="2" numFmtId="0" xfId="0" applyAlignment="1" applyFont="1">
      <alignment vertical="bottom"/>
    </xf>
    <xf borderId="4" fillId="10" fontId="2" numFmtId="0" xfId="0" applyAlignment="1" applyBorder="1" applyFont="1">
      <alignment vertical="bottom"/>
    </xf>
    <xf borderId="4" fillId="10" fontId="2" numFmtId="0" xfId="0" applyAlignment="1" applyBorder="1" applyFont="1">
      <alignment vertical="bottom"/>
    </xf>
    <xf borderId="0" fillId="11" fontId="2" numFmtId="164" xfId="0" applyAlignment="1" applyFont="1" applyNumberFormat="1">
      <alignment horizontal="right" vertical="bottom"/>
    </xf>
    <xf borderId="0" fillId="11" fontId="2" numFmtId="168" xfId="0" applyAlignment="1" applyFont="1" applyNumberFormat="1">
      <alignment horizontal="right" vertical="bottom"/>
    </xf>
    <xf borderId="10" fillId="11" fontId="2" numFmtId="168" xfId="0" applyAlignment="1" applyBorder="1" applyFont="1" applyNumberFormat="1">
      <alignment horizontal="right" vertical="bottom"/>
    </xf>
    <xf borderId="10" fillId="12" fontId="2" numFmtId="168" xfId="0" applyAlignment="1" applyBorder="1" applyFont="1" applyNumberFormat="1">
      <alignment horizontal="right" vertical="bottom"/>
    </xf>
    <xf borderId="0" fillId="12" fontId="2" numFmtId="164" xfId="0" applyAlignment="1" applyFont="1" applyNumberFormat="1">
      <alignment horizontal="right" vertical="bottom"/>
    </xf>
    <xf borderId="10" fillId="14" fontId="1" numFmtId="168" xfId="0" applyAlignment="1" applyBorder="1" applyFont="1" applyNumberFormat="1">
      <alignment readingOrder="0"/>
    </xf>
    <xf borderId="0" fillId="14" fontId="2" numFmtId="0" xfId="0" applyAlignment="1" applyFont="1">
      <alignment vertical="bottom"/>
    </xf>
    <xf borderId="10" fillId="14" fontId="2" numFmtId="168" xfId="0" applyAlignment="1" applyBorder="1" applyFont="1" applyNumberFormat="1">
      <alignment horizontal="right" vertical="bottom"/>
    </xf>
    <xf borderId="0" fillId="14" fontId="2" numFmtId="0" xfId="0" applyAlignment="1" applyFont="1">
      <alignment vertical="bottom"/>
    </xf>
    <xf borderId="4" fillId="14" fontId="2" numFmtId="0" xfId="0" applyAlignment="1" applyBorder="1" applyFont="1">
      <alignment vertical="bottom"/>
    </xf>
    <xf borderId="4" fillId="14" fontId="2" numFmtId="0" xfId="0" applyAlignment="1" applyBorder="1" applyFont="1">
      <alignment vertical="bottom"/>
    </xf>
    <xf borderId="0" fillId="14" fontId="2" numFmtId="164" xfId="0" applyAlignment="1" applyFont="1" applyNumberFormat="1">
      <alignment horizontal="right" vertical="bottom"/>
    </xf>
    <xf borderId="10" fillId="12" fontId="2" numFmtId="164" xfId="0" applyAlignment="1" applyBorder="1" applyFont="1" applyNumberFormat="1">
      <alignment horizontal="right" vertical="bottom"/>
    </xf>
    <xf borderId="0" fillId="9" fontId="2" numFmtId="0" xfId="0" applyAlignment="1" applyFont="1">
      <alignment vertical="bottom"/>
    </xf>
    <xf borderId="10" fillId="16" fontId="2" numFmtId="167" xfId="0" applyAlignment="1" applyBorder="1" applyFill="1" applyFont="1" applyNumberFormat="1">
      <alignment horizontal="right" vertical="bottom"/>
    </xf>
    <xf borderId="0" fillId="16" fontId="2" numFmtId="0" xfId="0" applyAlignment="1" applyFont="1">
      <alignment vertical="bottom"/>
    </xf>
    <xf borderId="4" fillId="16" fontId="2" numFmtId="0" xfId="0" applyAlignment="1" applyBorder="1" applyFont="1">
      <alignment vertical="bottom"/>
    </xf>
    <xf borderId="4" fillId="16" fontId="2" numFmtId="0" xfId="0" applyAlignment="1" applyBorder="1" applyFont="1">
      <alignment vertical="bottom"/>
    </xf>
    <xf borderId="3" fillId="16" fontId="2" numFmtId="0" xfId="0" applyAlignment="1" applyBorder="1" applyFont="1">
      <alignment vertical="bottom"/>
    </xf>
    <xf borderId="0" fillId="16" fontId="2" numFmtId="167" xfId="0" applyAlignment="1" applyFont="1" applyNumberFormat="1">
      <alignment horizontal="right" vertical="bottom"/>
    </xf>
    <xf borderId="0" fillId="16" fontId="2" numFmtId="0" xfId="0" applyAlignment="1" applyFont="1">
      <alignment vertical="bottom"/>
    </xf>
    <xf borderId="3" fillId="16" fontId="2" numFmtId="0" xfId="0" applyAlignment="1" applyBorder="1" applyFont="1">
      <alignment vertical="bottom"/>
    </xf>
    <xf borderId="10" fillId="16" fontId="2" numFmtId="0" xfId="0" applyAlignment="1" applyBorder="1" applyFont="1">
      <alignment vertical="bottom"/>
    </xf>
    <xf borderId="10" fillId="16" fontId="2" numFmtId="170" xfId="0" applyAlignment="1" applyBorder="1" applyFont="1" applyNumberFormat="1">
      <alignment horizontal="right" vertical="bottom"/>
    </xf>
    <xf borderId="0" fillId="0" fontId="2" numFmtId="0" xfId="0" applyAlignment="1" applyFont="1">
      <alignment vertical="bottom"/>
    </xf>
    <xf borderId="10" fillId="12" fontId="1" numFmtId="164" xfId="0" applyAlignment="1" applyBorder="1" applyFont="1" applyNumberFormat="1">
      <alignment readingOrder="0"/>
    </xf>
    <xf borderId="0" fillId="17" fontId="2" numFmtId="0" xfId="0" applyAlignment="1" applyFill="1" applyFont="1">
      <alignment vertical="bottom"/>
    </xf>
    <xf borderId="10" fillId="17" fontId="2" numFmtId="164" xfId="0" applyAlignment="1" applyBorder="1" applyFont="1" applyNumberFormat="1">
      <alignment horizontal="right" vertical="bottom"/>
    </xf>
    <xf borderId="0" fillId="17" fontId="2" numFmtId="0" xfId="0" applyAlignment="1" applyFont="1">
      <alignment vertical="bottom"/>
    </xf>
    <xf borderId="4" fillId="17" fontId="2" numFmtId="0" xfId="0" applyAlignment="1" applyBorder="1" applyFont="1">
      <alignment vertical="bottom"/>
    </xf>
    <xf borderId="4" fillId="17" fontId="2" numFmtId="0" xfId="0" applyAlignment="1" applyBorder="1" applyFont="1">
      <alignment vertical="bottom"/>
    </xf>
    <xf borderId="10" fillId="14" fontId="1" numFmtId="164" xfId="0" applyAlignment="1" applyBorder="1" applyFont="1" applyNumberFormat="1">
      <alignment readingOrder="0"/>
    </xf>
    <xf borderId="10" fillId="0" fontId="1" numFmtId="165" xfId="0" applyBorder="1" applyFont="1" applyNumberFormat="1"/>
    <xf borderId="0" fillId="0" fontId="1" numFmtId="0" xfId="0" applyFont="1"/>
    <xf borderId="4" fillId="0" fontId="1" numFmtId="0" xfId="0" applyBorder="1" applyFont="1"/>
    <xf borderId="0" fillId="0" fontId="1" numFmtId="165" xfId="0" applyFont="1" applyNumberFormat="1"/>
    <xf borderId="0" fillId="0" fontId="1" numFmtId="0" xfId="0" applyFont="1"/>
    <xf borderId="3" fillId="0" fontId="1" numFmtId="0" xfId="0" applyBorder="1" applyFont="1"/>
    <xf borderId="4" fillId="0" fontId="1" numFmtId="165" xfId="0" applyBorder="1" applyFont="1" applyNumberFormat="1"/>
    <xf borderId="0" fillId="0" fontId="1" numFmtId="164" xfId="0" applyFont="1" applyNumberFormat="1"/>
    <xf borderId="10" fillId="16" fontId="2" numFmtId="165" xfId="0" applyAlignment="1" applyBorder="1" applyFont="1" applyNumberFormat="1">
      <alignment horizontal="right" vertical="bottom"/>
    </xf>
    <xf borderId="10" fillId="16" fontId="2" numFmtId="164" xfId="0" applyAlignment="1" applyBorder="1" applyFont="1" applyNumberFormat="1">
      <alignment horizontal="right" vertical="bottom"/>
    </xf>
    <xf borderId="3" fillId="16" fontId="2" numFmtId="164" xfId="0" applyAlignment="1" applyBorder="1" applyFont="1" applyNumberFormat="1">
      <alignment vertical="bottom"/>
    </xf>
    <xf borderId="0" fillId="18" fontId="2" numFmtId="0" xfId="0" applyAlignment="1" applyFill="1" applyFont="1">
      <alignment vertical="bottom"/>
    </xf>
    <xf borderId="3" fillId="11" fontId="2" numFmtId="0" xfId="0" applyAlignment="1" applyBorder="1" applyFont="1">
      <alignment vertical="bottom"/>
    </xf>
    <xf borderId="10" fillId="14" fontId="1" numFmtId="167" xfId="0" applyAlignment="1" applyBorder="1" applyFont="1" applyNumberFormat="1">
      <alignment readingOrder="0"/>
    </xf>
    <xf borderId="0" fillId="14" fontId="1" numFmtId="167" xfId="0" applyAlignment="1" applyFont="1" applyNumberFormat="1">
      <alignment readingOrder="0"/>
    </xf>
    <xf borderId="10" fillId="12" fontId="1" numFmtId="168" xfId="0" applyAlignment="1" applyBorder="1" applyFont="1" applyNumberFormat="1">
      <alignment readingOrder="0"/>
    </xf>
    <xf borderId="10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4" fillId="0" fontId="2" numFmtId="171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/>
    </xf>
    <xf borderId="10" fillId="0" fontId="1" numFmtId="170" xfId="0" applyAlignment="1" applyBorder="1" applyFont="1" applyNumberFormat="1">
      <alignment readingOrder="0"/>
    </xf>
    <xf borderId="3" fillId="0" fontId="1" numFmtId="171" xfId="0" applyAlignment="1" applyBorder="1" applyFont="1" applyNumberFormat="1">
      <alignment readingOrder="0"/>
    </xf>
    <xf borderId="10" fillId="0" fontId="2" numFmtId="164" xfId="0" applyAlignment="1" applyBorder="1" applyFont="1" applyNumberFormat="1">
      <alignment horizontal="right" vertical="bottom"/>
    </xf>
    <xf borderId="10" fillId="0" fontId="1" numFmtId="171" xfId="0" applyAlignment="1" applyBorder="1" applyFont="1" applyNumberFormat="1">
      <alignment readingOrder="0"/>
    </xf>
    <xf borderId="10" fillId="0" fontId="2" numFmtId="171" xfId="0" applyAlignment="1" applyBorder="1" applyFont="1" applyNumberFormat="1">
      <alignment horizontal="right" vertical="bottom"/>
    </xf>
    <xf borderId="3" fillId="0" fontId="2" numFmtId="171" xfId="0" applyAlignment="1" applyBorder="1" applyFont="1" applyNumberFormat="1">
      <alignment horizontal="right" vertical="bottom"/>
    </xf>
    <xf borderId="10" fillId="0" fontId="2" numFmtId="165" xfId="0" applyAlignment="1" applyBorder="1" applyFont="1" applyNumberFormat="1">
      <alignment horizontal="right" vertical="bottom"/>
    </xf>
    <xf borderId="3" fillId="0" fontId="1" numFmtId="165" xfId="0" applyAlignment="1" applyBorder="1" applyFont="1" applyNumberFormat="1">
      <alignment readingOrder="0"/>
    </xf>
    <xf borderId="3" fillId="0" fontId="1" numFmtId="164" xfId="0" applyAlignment="1" applyBorder="1" applyFont="1" applyNumberFormat="1">
      <alignment readingOrder="0"/>
    </xf>
    <xf borderId="4" fillId="0" fontId="1" numFmtId="171" xfId="0" applyAlignment="1" applyBorder="1" applyFont="1" applyNumberFormat="1">
      <alignment readingOrder="0"/>
    </xf>
    <xf borderId="4" fillId="0" fontId="1" numFmtId="171" xfId="0" applyBorder="1" applyFont="1" applyNumberFormat="1"/>
    <xf borderId="4" fillId="0" fontId="1" numFmtId="165" xfId="0" applyAlignment="1" applyBorder="1" applyFont="1" applyNumberFormat="1">
      <alignment readingOrder="0"/>
    </xf>
    <xf borderId="10" fillId="0" fontId="1" numFmtId="172" xfId="0" applyAlignment="1" applyBorder="1" applyFont="1" applyNumberFormat="1">
      <alignment readingOrder="0"/>
    </xf>
    <xf borderId="4" fillId="0" fontId="2" numFmtId="0" xfId="0" applyAlignment="1" applyBorder="1" applyFont="1">
      <alignment horizontal="right" vertical="bottom"/>
    </xf>
    <xf borderId="0" fillId="0" fontId="1" numFmtId="171" xfId="0" applyAlignment="1" applyFont="1" applyNumberFormat="1">
      <alignment readingOrder="0"/>
    </xf>
    <xf borderId="0" fillId="0" fontId="1" numFmtId="171" xfId="0" applyFont="1" applyNumberFormat="1"/>
    <xf borderId="0" fillId="0" fontId="1" numFmtId="164" xfId="0" applyAlignment="1" applyFont="1" applyNumberFormat="1">
      <alignment readingOrder="0"/>
    </xf>
    <xf borderId="10" fillId="0" fontId="1" numFmtId="171" xfId="0" applyBorder="1" applyFont="1" applyNumberFormat="1"/>
    <xf borderId="10" fillId="0" fontId="1" numFmtId="164" xfId="0" applyBorder="1" applyFont="1" applyNumberFormat="1"/>
    <xf borderId="0" fillId="0" fontId="2" numFmtId="171" xfId="0" applyAlignment="1" applyFont="1" applyNumberFormat="1">
      <alignment vertical="bottom"/>
    </xf>
    <xf borderId="3" fillId="0" fontId="2" numFmtId="164" xfId="0" applyAlignment="1" applyBorder="1" applyFont="1" applyNumberFormat="1">
      <alignment horizontal="right" vertical="bottom"/>
    </xf>
    <xf borderId="4" fillId="0" fontId="1" numFmtId="0" xfId="0" applyAlignment="1" applyBorder="1" applyFont="1">
      <alignment readingOrder="0"/>
    </xf>
    <xf borderId="3" fillId="0" fontId="2" numFmtId="164" xfId="0" applyAlignment="1" applyBorder="1" applyFont="1" applyNumberFormat="1">
      <alignment vertical="bottom"/>
    </xf>
    <xf borderId="3" fillId="0" fontId="2" numFmtId="165" xfId="0" applyAlignment="1" applyBorder="1" applyFont="1" applyNumberFormat="1">
      <alignment horizontal="right" vertical="bottom"/>
    </xf>
    <xf borderId="0" fillId="0" fontId="2" numFmtId="171" xfId="0" applyAlignment="1" applyFont="1" applyNumberFormat="1">
      <alignment horizontal="right" vertical="bottom"/>
    </xf>
    <xf borderId="0" fillId="0" fontId="1" numFmtId="170" xfId="0" applyAlignment="1" applyFont="1" applyNumberFormat="1">
      <alignment readingOrder="0"/>
    </xf>
    <xf borderId="11" fillId="11" fontId="1" numFmtId="0" xfId="0" applyAlignment="1" applyBorder="1" applyFont="1">
      <alignment readingOrder="0"/>
    </xf>
    <xf borderId="12" fillId="11" fontId="1" numFmtId="168" xfId="0" applyAlignment="1" applyBorder="1" applyFont="1" applyNumberFormat="1">
      <alignment readingOrder="0"/>
    </xf>
    <xf borderId="6" fillId="11" fontId="1" numFmtId="0" xfId="0" applyBorder="1" applyFont="1"/>
    <xf borderId="6" fillId="11" fontId="1" numFmtId="0" xfId="0" applyAlignment="1" applyBorder="1" applyFont="1">
      <alignment readingOrder="0"/>
    </xf>
    <xf borderId="10" fillId="11" fontId="1" numFmtId="169" xfId="0" applyAlignment="1" applyBorder="1" applyFont="1" applyNumberFormat="1">
      <alignment readingOrder="0"/>
    </xf>
    <xf borderId="4" fillId="11" fontId="4" numFmtId="0" xfId="0" applyAlignment="1" applyBorder="1" applyFont="1">
      <alignment readingOrder="0"/>
    </xf>
    <xf borderId="3" fillId="12" fontId="1" numFmtId="0" xfId="0" applyAlignment="1" applyBorder="1" applyFont="1">
      <alignment readingOrder="0"/>
    </xf>
    <xf borderId="10" fillId="12" fontId="1" numFmtId="0" xfId="0" applyAlignment="1" applyBorder="1" applyFont="1">
      <alignment readingOrder="0"/>
    </xf>
    <xf borderId="3" fillId="11" fontId="1" numFmtId="0" xfId="0" applyAlignment="1" applyBorder="1" applyFont="1">
      <alignment readingOrder="0"/>
    </xf>
    <xf borderId="3" fillId="11" fontId="1" numFmtId="0" xfId="0" applyBorder="1" applyFont="1"/>
    <xf borderId="3" fillId="11" fontId="1" numFmtId="167" xfId="0" applyAlignment="1" applyBorder="1" applyFont="1" applyNumberFormat="1">
      <alignment readingOrder="0"/>
    </xf>
    <xf borderId="3" fillId="14" fontId="1" numFmtId="0" xfId="0" applyAlignment="1" applyBorder="1" applyFont="1">
      <alignment readingOrder="0"/>
    </xf>
    <xf borderId="10" fillId="14" fontId="1" numFmtId="0" xfId="0" applyAlignment="1" applyBorder="1" applyFont="1">
      <alignment readingOrder="0"/>
    </xf>
    <xf borderId="0" fillId="18" fontId="1" numFmtId="0" xfId="0" applyFont="1"/>
    <xf borderId="0" fillId="12" fontId="1" numFmtId="168" xfId="0" applyAlignment="1" applyFont="1" applyNumberFormat="1">
      <alignment readingOrder="0"/>
    </xf>
    <xf borderId="10" fillId="11" fontId="1" numFmtId="173" xfId="0" applyAlignment="1" applyBorder="1" applyFont="1" applyNumberFormat="1">
      <alignment readingOrder="0"/>
    </xf>
    <xf borderId="10" fillId="14" fontId="1" numFmtId="169" xfId="0" applyAlignment="1" applyBorder="1" applyFont="1" applyNumberFormat="1">
      <alignment readingOrder="0"/>
    </xf>
    <xf borderId="10" fillId="11" fontId="2" numFmtId="167" xfId="0" applyAlignment="1" applyBorder="1" applyFont="1" applyNumberFormat="1">
      <alignment horizontal="right" readingOrder="0" vertical="bottom"/>
    </xf>
    <xf borderId="0" fillId="11" fontId="2" numFmtId="0" xfId="0" applyAlignment="1" applyFont="1">
      <alignment readingOrder="0" vertical="bottom"/>
    </xf>
    <xf borderId="3" fillId="11" fontId="1" numFmtId="171" xfId="0" applyAlignment="1" applyBorder="1" applyFont="1" applyNumberFormat="1">
      <alignment readingOrder="0"/>
    </xf>
    <xf borderId="10" fillId="5" fontId="1" numFmtId="168" xfId="0" applyAlignment="1" applyBorder="1" applyFont="1" applyNumberFormat="1">
      <alignment readingOrder="0"/>
    </xf>
    <xf borderId="10" fillId="19" fontId="1" numFmtId="167" xfId="0" applyAlignment="1" applyBorder="1" applyFill="1" applyFont="1" applyNumberFormat="1">
      <alignment readingOrder="0"/>
    </xf>
    <xf borderId="0" fillId="19" fontId="1" numFmtId="0" xfId="0" applyAlignment="1" applyFont="1">
      <alignment readingOrder="0"/>
    </xf>
    <xf borderId="4" fillId="19" fontId="1" numFmtId="0" xfId="0" applyBorder="1" applyFont="1"/>
    <xf borderId="4" fillId="19" fontId="1" numFmtId="0" xfId="0" applyAlignment="1" applyBorder="1" applyFont="1">
      <alignment readingOrder="0"/>
    </xf>
    <xf borderId="10" fillId="12" fontId="2" numFmtId="0" xfId="0" applyAlignment="1" applyBorder="1" applyFont="1">
      <alignment vertical="bottom"/>
    </xf>
    <xf borderId="3" fillId="12" fontId="2" numFmtId="0" xfId="0" applyAlignment="1" applyBorder="1" applyFont="1">
      <alignment vertical="bottom"/>
    </xf>
    <xf borderId="4" fillId="12" fontId="2" numFmtId="171" xfId="0" applyAlignment="1" applyBorder="1" applyFont="1" applyNumberFormat="1">
      <alignment horizontal="right" vertical="bottom"/>
    </xf>
    <xf borderId="10" fillId="11" fontId="1" numFmtId="0" xfId="0" applyBorder="1" applyFont="1"/>
    <xf borderId="0" fillId="11" fontId="5" numFmtId="0" xfId="0" applyAlignment="1" applyFont="1">
      <alignment readingOrder="0"/>
    </xf>
    <xf borderId="10" fillId="13" fontId="1" numFmtId="0" xfId="0" applyAlignment="1" applyBorder="1" applyFont="1">
      <alignment readingOrder="0"/>
    </xf>
    <xf borderId="3" fillId="13" fontId="1" numFmtId="0" xfId="0" applyAlignment="1" applyBorder="1" applyFont="1">
      <alignment readingOrder="0"/>
    </xf>
    <xf borderId="3" fillId="19" fontId="1" numFmtId="0" xfId="0" applyAlignment="1" applyBorder="1" applyFont="1">
      <alignment readingOrder="0"/>
    </xf>
    <xf borderId="3" fillId="5" fontId="1" numFmtId="0" xfId="0" applyAlignment="1" applyBorder="1" applyFont="1">
      <alignment readingOrder="0"/>
    </xf>
    <xf borderId="10" fillId="5" fontId="1" numFmtId="171" xfId="0" applyAlignment="1" applyBorder="1" applyFont="1" applyNumberFormat="1">
      <alignment readingOrder="0"/>
    </xf>
    <xf borderId="10" fillId="11" fontId="1" numFmtId="171" xfId="0" applyAlignment="1" applyBorder="1" applyFont="1" applyNumberFormat="1">
      <alignment readingOrder="0"/>
    </xf>
    <xf borderId="10" fillId="5" fontId="2" numFmtId="171" xfId="0" applyAlignment="1" applyBorder="1" applyFont="1" applyNumberFormat="1">
      <alignment horizontal="right" vertical="bottom"/>
    </xf>
    <xf borderId="3" fillId="5" fontId="2" numFmtId="171" xfId="0" applyAlignment="1" applyBorder="1" applyFont="1" applyNumberFormat="1">
      <alignment horizontal="right" vertical="bottom"/>
    </xf>
    <xf borderId="4" fillId="11" fontId="2" numFmtId="171" xfId="0" applyAlignment="1" applyBorder="1" applyFont="1" applyNumberFormat="1">
      <alignment horizontal="right" vertical="bottom"/>
    </xf>
    <xf borderId="3" fillId="11" fontId="1" numFmtId="165" xfId="0" applyAlignment="1" applyBorder="1" applyFont="1" applyNumberFormat="1">
      <alignment readingOrder="0"/>
    </xf>
    <xf borderId="10" fillId="14" fontId="1" numFmtId="171" xfId="0" applyAlignment="1" applyBorder="1" applyFont="1" applyNumberFormat="1">
      <alignment readingOrder="0"/>
    </xf>
    <xf borderId="10" fillId="12" fontId="1" numFmtId="171" xfId="0" applyAlignment="1" applyBorder="1" applyFont="1" applyNumberFormat="1">
      <alignment readingOrder="0"/>
    </xf>
    <xf borderId="3" fillId="12" fontId="1" numFmtId="171" xfId="0" applyAlignment="1" applyBorder="1" applyFont="1" applyNumberFormat="1">
      <alignment readingOrder="0"/>
    </xf>
    <xf borderId="3" fillId="12" fontId="1" numFmtId="164" xfId="0" applyAlignment="1" applyBorder="1" applyFont="1" applyNumberFormat="1">
      <alignment readingOrder="0"/>
    </xf>
    <xf borderId="3" fillId="11" fontId="1" numFmtId="164" xfId="0" applyAlignment="1" applyBorder="1" applyFont="1" applyNumberFormat="1">
      <alignment readingOrder="0"/>
    </xf>
    <xf borderId="10" fillId="11" fontId="2" numFmtId="171" xfId="0" applyAlignment="1" applyBorder="1" applyFont="1" applyNumberFormat="1">
      <alignment horizontal="right" vertical="bottom"/>
    </xf>
    <xf borderId="3" fillId="5" fontId="1" numFmtId="164" xfId="0" applyAlignment="1" applyBorder="1" applyFont="1" applyNumberFormat="1">
      <alignment readingOrder="0"/>
    </xf>
    <xf borderId="4" fillId="11" fontId="1" numFmtId="171" xfId="0" applyAlignment="1" applyBorder="1" applyFont="1" applyNumberFormat="1">
      <alignment readingOrder="0"/>
    </xf>
    <xf borderId="4" fillId="12" fontId="1" numFmtId="171" xfId="0" applyBorder="1" applyFont="1" applyNumberFormat="1"/>
    <xf borderId="4" fillId="11" fontId="1" numFmtId="165" xfId="0" applyAlignment="1" applyBorder="1" applyFont="1" applyNumberFormat="1">
      <alignment readingOrder="0"/>
    </xf>
    <xf borderId="4" fillId="11" fontId="1" numFmtId="164" xfId="0" applyAlignment="1" applyBorder="1" applyFont="1" applyNumberFormat="1">
      <alignment readingOrder="0"/>
    </xf>
    <xf borderId="10" fillId="11" fontId="1" numFmtId="172" xfId="0" applyAlignment="1" applyBorder="1" applyFont="1" applyNumberFormat="1">
      <alignment readingOrder="0"/>
    </xf>
    <xf borderId="4" fillId="12" fontId="2" numFmtId="0" xfId="0" applyAlignment="1" applyBorder="1" applyFont="1">
      <alignment horizontal="right" vertical="bottom"/>
    </xf>
    <xf borderId="0" fillId="12" fontId="1" numFmtId="171" xfId="0" applyAlignment="1" applyFont="1" applyNumberFormat="1">
      <alignment readingOrder="0"/>
    </xf>
    <xf borderId="10" fillId="11" fontId="1" numFmtId="165" xfId="0" applyBorder="1" applyFont="1" applyNumberFormat="1"/>
    <xf borderId="0" fillId="11" fontId="1" numFmtId="171" xfId="0" applyFont="1" applyNumberFormat="1"/>
    <xf borderId="0" fillId="11" fontId="1" numFmtId="0" xfId="0" applyFont="1"/>
    <xf borderId="4" fillId="11" fontId="1" numFmtId="0" xfId="0" applyBorder="1" applyFont="1"/>
    <xf borderId="4" fillId="11" fontId="2" numFmtId="0" xfId="0" applyAlignment="1" applyBorder="1" applyFont="1">
      <alignment horizontal="right" vertical="bottom"/>
    </xf>
    <xf borderId="3" fillId="11" fontId="2" numFmtId="171" xfId="0" applyAlignment="1" applyBorder="1" applyFont="1" applyNumberFormat="1">
      <alignment horizontal="right" vertical="bottom"/>
    </xf>
    <xf borderId="10" fillId="11" fontId="1" numFmtId="171" xfId="0" applyBorder="1" applyFont="1" applyNumberFormat="1"/>
    <xf borderId="0" fillId="11" fontId="1" numFmtId="164" xfId="0" applyFont="1" applyNumberFormat="1"/>
    <xf borderId="10" fillId="11" fontId="1" numFmtId="164" xfId="0" applyBorder="1" applyFont="1" applyNumberFormat="1"/>
    <xf borderId="3" fillId="5" fontId="1" numFmtId="171" xfId="0" applyAlignment="1" applyBorder="1" applyFont="1" applyNumberFormat="1">
      <alignment readingOrder="0"/>
    </xf>
    <xf borderId="4" fillId="18" fontId="1" numFmtId="0" xfId="0" applyAlignment="1" applyBorder="1" applyFont="1">
      <alignment readingOrder="0"/>
    </xf>
    <xf borderId="0" fillId="19" fontId="1" numFmtId="0" xfId="0" applyFont="1"/>
    <xf borderId="10" fillId="19" fontId="1" numFmtId="164" xfId="0" applyAlignment="1" applyBorder="1" applyFont="1" applyNumberFormat="1">
      <alignment readingOrder="0"/>
    </xf>
    <xf borderId="3" fillId="19" fontId="1" numFmtId="171" xfId="0" applyAlignment="1" applyBorder="1" applyFont="1" applyNumberFormat="1">
      <alignment readingOrder="0"/>
    </xf>
    <xf borderId="0" fillId="12" fontId="2" numFmtId="171" xfId="0" applyAlignment="1" applyFont="1" applyNumberFormat="1">
      <alignment vertical="bottom"/>
    </xf>
    <xf borderId="10" fillId="12" fontId="2" numFmtId="171" xfId="0" applyAlignment="1" applyBorder="1" applyFont="1" applyNumberFormat="1">
      <alignment horizontal="right" vertical="bottom"/>
    </xf>
    <xf borderId="3" fillId="12" fontId="2" numFmtId="171" xfId="0" applyAlignment="1" applyBorder="1" applyFont="1" applyNumberFormat="1">
      <alignment horizontal="right" vertical="bottom"/>
    </xf>
    <xf borderId="3" fillId="11" fontId="2" numFmtId="164" xfId="0" applyAlignment="1" applyBorder="1" applyFont="1" applyNumberFormat="1">
      <alignment horizontal="right" vertical="bottom"/>
    </xf>
    <xf borderId="4" fillId="11" fontId="6" numFmtId="0" xfId="0" applyAlignment="1" applyBorder="1" applyFont="1">
      <alignment vertical="bottom"/>
    </xf>
    <xf borderId="10" fillId="5" fontId="2" numFmtId="164" xfId="0" applyAlignment="1" applyBorder="1" applyFont="1" applyNumberFormat="1">
      <alignment horizontal="right" vertical="bottom"/>
    </xf>
    <xf borderId="4" fillId="5" fontId="1" numFmtId="0" xfId="0" applyAlignment="1" applyBorder="1" applyFont="1">
      <alignment readingOrder="0"/>
    </xf>
    <xf borderId="3" fillId="5" fontId="2" numFmtId="164" xfId="0" applyAlignment="1" applyBorder="1" applyFont="1" applyNumberFormat="1">
      <alignment horizontal="right" vertical="bottom"/>
    </xf>
    <xf borderId="0" fillId="18" fontId="1" numFmtId="0" xfId="0" applyAlignment="1" applyFont="1">
      <alignment readingOrder="0"/>
    </xf>
    <xf borderId="3" fillId="11" fontId="2" numFmtId="164" xfId="0" applyAlignment="1" applyBorder="1" applyFont="1" applyNumberFormat="1">
      <alignment vertical="bottom"/>
    </xf>
    <xf borderId="3" fillId="11" fontId="2" numFmtId="165" xfId="0" applyAlignment="1" applyBorder="1" applyFont="1" applyNumberFormat="1">
      <alignment horizontal="right" vertical="bottom"/>
    </xf>
    <xf borderId="3" fillId="12" fontId="2" numFmtId="165" xfId="0" applyAlignment="1" applyBorder="1" applyFont="1" applyNumberFormat="1">
      <alignment horizontal="right" vertical="bottom"/>
    </xf>
    <xf borderId="10" fillId="14" fontId="2" numFmtId="165" xfId="0" applyAlignment="1" applyBorder="1" applyFont="1" applyNumberFormat="1">
      <alignment horizontal="right" vertical="bottom"/>
    </xf>
    <xf borderId="3" fillId="14" fontId="2" numFmtId="171" xfId="0" applyAlignment="1" applyBorder="1" applyFont="1" applyNumberFormat="1">
      <alignment horizontal="right" vertical="bottom"/>
    </xf>
    <xf borderId="0" fillId="12" fontId="2" numFmtId="171" xfId="0" applyAlignment="1" applyFont="1" applyNumberFormat="1">
      <alignment horizontal="right" vertical="bottom"/>
    </xf>
    <xf borderId="10" fillId="14" fontId="2" numFmtId="171" xfId="0" applyAlignment="1" applyBorder="1" applyFont="1" applyNumberFormat="1">
      <alignment horizontal="right" vertical="bottom"/>
    </xf>
    <xf borderId="0" fillId="14" fontId="2" numFmtId="171" xfId="0" applyAlignment="1" applyFont="1" applyNumberFormat="1">
      <alignment horizontal="right" vertical="bottom"/>
    </xf>
    <xf borderId="0" fillId="0" fontId="1" numFmtId="168" xfId="0" applyAlignment="1" applyFont="1" applyNumberFormat="1">
      <alignment readingOrder="0"/>
    </xf>
    <xf borderId="3" fillId="0" fontId="1" numFmtId="168" xfId="0" applyAlignment="1" applyBorder="1" applyFont="1" applyNumberFormat="1">
      <alignment readingOrder="0"/>
    </xf>
    <xf borderId="3" fillId="12" fontId="2" numFmtId="164" xfId="0" applyAlignment="1" applyBorder="1" applyFont="1" applyNumberFormat="1">
      <alignment vertical="bottom"/>
    </xf>
    <xf borderId="3" fillId="12" fontId="2" numFmtId="171" xfId="0" applyAlignment="1" applyBorder="1" applyFont="1" applyNumberFormat="1">
      <alignment vertical="bottom"/>
    </xf>
    <xf borderId="3" fillId="12" fontId="2" numFmtId="165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u/0/d/1JMstKKfGloyv7mF8PdHj9d89H1X4GaPbT2tD1YduN1U/edit" TargetMode="External"/><Relationship Id="rId2" Type="http://schemas.openxmlformats.org/officeDocument/2006/relationships/hyperlink" Target="https://www.google.com/maps/place/Fafi/data=!4m2!3m1!19sChIJNbZTxGoKHxgR3xcRN5wl4OI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6.38"/>
    <col customWidth="1" min="3" max="3" width="18.38"/>
    <col customWidth="1" min="4" max="4" width="11.38"/>
    <col customWidth="1" min="5" max="5" width="17.25"/>
    <col customWidth="1" min="6" max="6" width="17.88"/>
    <col customWidth="1" min="7" max="7" width="15.63"/>
    <col customWidth="1" min="8" max="8" width="18.88"/>
    <col customWidth="1" min="9" max="9" width="27.25"/>
    <col customWidth="1" min="10" max="10" width="10.88"/>
    <col customWidth="1" min="11" max="11" width="15.75"/>
    <col customWidth="1" min="13" max="13" width="23.25"/>
    <col customWidth="1" min="14" max="14" width="16.5"/>
    <col customWidth="1" min="16" max="16" width="19.88"/>
  </cols>
  <sheetData>
    <row r="1">
      <c r="A1" s="1" t="s">
        <v>0</v>
      </c>
      <c r="C1" s="2" t="s">
        <v>1</v>
      </c>
      <c r="D1" s="3"/>
      <c r="E1" s="4" t="s">
        <v>2</v>
      </c>
      <c r="F1" s="5" t="s">
        <v>3</v>
      </c>
      <c r="H1" s="1" t="s">
        <v>4</v>
      </c>
    </row>
    <row r="2">
      <c r="A2" s="1" t="s">
        <v>5</v>
      </c>
      <c r="C2" s="6" t="s">
        <v>6</v>
      </c>
      <c r="D2" s="7" t="s">
        <v>7</v>
      </c>
      <c r="E2" s="8">
        <v>45826.0</v>
      </c>
      <c r="F2" s="9">
        <v>46101.0</v>
      </c>
      <c r="G2" s="10"/>
    </row>
    <row r="3">
      <c r="C3" s="11" t="s">
        <v>8</v>
      </c>
      <c r="D3" s="12"/>
      <c r="E3" s="12"/>
      <c r="F3" s="13">
        <v>46092.0</v>
      </c>
      <c r="G3" s="14"/>
      <c r="H3" s="15"/>
      <c r="I3" s="15"/>
    </row>
    <row r="4">
      <c r="A4" s="1" t="s">
        <v>9</v>
      </c>
      <c r="B4" s="1"/>
    </row>
    <row r="5">
      <c r="A5" s="16" t="s">
        <v>0</v>
      </c>
      <c r="B5" s="16" t="s">
        <v>10</v>
      </c>
      <c r="C5" s="17" t="s">
        <v>11</v>
      </c>
      <c r="D5" s="17" t="s">
        <v>12</v>
      </c>
      <c r="E5" s="18" t="s">
        <v>13</v>
      </c>
      <c r="F5" s="18" t="s">
        <v>12</v>
      </c>
      <c r="G5" s="19" t="s">
        <v>14</v>
      </c>
      <c r="H5" s="20" t="s">
        <v>15</v>
      </c>
      <c r="I5" s="20" t="s">
        <v>16</v>
      </c>
      <c r="J5" s="20" t="s">
        <v>17</v>
      </c>
      <c r="K5" s="21" t="s">
        <v>18</v>
      </c>
      <c r="L5" s="22" t="s">
        <v>19</v>
      </c>
    </row>
    <row r="6">
      <c r="A6" s="23"/>
      <c r="B6" s="24">
        <v>45796.0</v>
      </c>
      <c r="C6" s="1" t="s">
        <v>20</v>
      </c>
      <c r="E6" s="6" t="s">
        <v>21</v>
      </c>
      <c r="F6" s="25"/>
      <c r="G6" s="1" t="s">
        <v>22</v>
      </c>
      <c r="H6" s="6"/>
      <c r="I6" s="6" t="s">
        <v>23</v>
      </c>
      <c r="J6" s="1" t="s">
        <v>24</v>
      </c>
      <c r="K6" s="26"/>
      <c r="L6" s="25"/>
    </row>
    <row r="7">
      <c r="A7" s="23"/>
      <c r="B7" s="27">
        <v>45947.0</v>
      </c>
      <c r="C7" s="1" t="s">
        <v>25</v>
      </c>
      <c r="D7" s="25"/>
      <c r="E7" s="1" t="s">
        <v>26</v>
      </c>
      <c r="F7" s="25"/>
      <c r="G7" s="7" t="s">
        <v>27</v>
      </c>
      <c r="H7" s="1"/>
      <c r="I7" s="1" t="s">
        <v>28</v>
      </c>
      <c r="J7" s="1" t="s">
        <v>25</v>
      </c>
      <c r="K7" s="26"/>
      <c r="L7" s="25"/>
    </row>
    <row r="8">
      <c r="B8" s="27">
        <v>46042.0</v>
      </c>
      <c r="C8" s="1" t="s">
        <v>29</v>
      </c>
      <c r="D8" s="25"/>
      <c r="E8" s="1" t="s">
        <v>30</v>
      </c>
      <c r="F8" s="25"/>
      <c r="G8" s="7" t="s">
        <v>22</v>
      </c>
      <c r="H8" s="1" t="s">
        <v>31</v>
      </c>
      <c r="I8" s="1" t="s">
        <v>32</v>
      </c>
      <c r="J8" s="1" t="s">
        <v>33</v>
      </c>
    </row>
    <row r="9">
      <c r="B9" s="27">
        <v>46067.0</v>
      </c>
      <c r="C9" s="1" t="s">
        <v>29</v>
      </c>
      <c r="D9" s="25"/>
      <c r="E9" s="1" t="s">
        <v>34</v>
      </c>
      <c r="F9" s="25"/>
      <c r="G9" s="7" t="s">
        <v>22</v>
      </c>
      <c r="H9" s="1" t="s">
        <v>31</v>
      </c>
      <c r="I9" s="1" t="s">
        <v>35</v>
      </c>
      <c r="J9" s="1" t="s">
        <v>36</v>
      </c>
    </row>
    <row r="10">
      <c r="B10" s="28">
        <v>46083.0</v>
      </c>
      <c r="C10" s="1" t="s">
        <v>37</v>
      </c>
      <c r="D10" s="25"/>
      <c r="E10" s="1" t="s">
        <v>38</v>
      </c>
      <c r="F10" s="25"/>
      <c r="G10" s="7" t="s">
        <v>22</v>
      </c>
      <c r="H10" s="1" t="s">
        <v>31</v>
      </c>
      <c r="I10" s="1" t="s">
        <v>39</v>
      </c>
      <c r="J10" s="1" t="s">
        <v>36</v>
      </c>
    </row>
    <row r="11">
      <c r="B11" s="28">
        <v>46084.0</v>
      </c>
      <c r="C11" s="1" t="s">
        <v>40</v>
      </c>
      <c r="D11" s="25"/>
      <c r="E11" s="1" t="s">
        <v>41</v>
      </c>
      <c r="F11" s="25"/>
      <c r="G11" s="7" t="s">
        <v>22</v>
      </c>
      <c r="H11" s="1" t="s">
        <v>42</v>
      </c>
      <c r="I11" s="1" t="s">
        <v>43</v>
      </c>
      <c r="J11" s="1" t="s">
        <v>33</v>
      </c>
    </row>
    <row r="12">
      <c r="B12" s="29">
        <v>46093.0</v>
      </c>
      <c r="C12" s="1" t="s">
        <v>44</v>
      </c>
      <c r="D12" s="25"/>
      <c r="E12" s="1" t="s">
        <v>45</v>
      </c>
      <c r="F12" s="25"/>
      <c r="G12" s="7" t="s">
        <v>22</v>
      </c>
      <c r="H12" s="1" t="s">
        <v>46</v>
      </c>
      <c r="I12" s="1" t="s">
        <v>47</v>
      </c>
      <c r="J12" s="1" t="s">
        <v>36</v>
      </c>
    </row>
    <row r="13">
      <c r="B13" s="29">
        <v>46094.0</v>
      </c>
      <c r="C13" s="1" t="s">
        <v>48</v>
      </c>
      <c r="D13" s="25"/>
      <c r="E13" s="1" t="s">
        <v>49</v>
      </c>
      <c r="F13" s="25"/>
      <c r="G13" s="7" t="s">
        <v>22</v>
      </c>
      <c r="H13" s="1" t="s">
        <v>50</v>
      </c>
      <c r="I13" s="1" t="s">
        <v>51</v>
      </c>
      <c r="J13" s="1" t="s">
        <v>25</v>
      </c>
    </row>
    <row r="14">
      <c r="B14" s="29">
        <v>46094.0</v>
      </c>
      <c r="C14" s="1" t="s">
        <v>25</v>
      </c>
      <c r="D14" s="25"/>
      <c r="E14" s="1" t="s">
        <v>52</v>
      </c>
      <c r="F14" s="25"/>
      <c r="G14" s="7" t="s">
        <v>22</v>
      </c>
      <c r="H14" s="1" t="s">
        <v>53</v>
      </c>
      <c r="I14" s="1" t="s">
        <v>51</v>
      </c>
      <c r="J14" s="1" t="s">
        <v>25</v>
      </c>
    </row>
    <row r="15">
      <c r="B15" s="29">
        <v>46098.0</v>
      </c>
      <c r="C15" s="1" t="s">
        <v>29</v>
      </c>
      <c r="D15" s="25"/>
      <c r="E15" s="1" t="s">
        <v>54</v>
      </c>
      <c r="F15" s="25"/>
      <c r="G15" s="7" t="s">
        <v>55</v>
      </c>
      <c r="H15" s="1" t="s">
        <v>42</v>
      </c>
      <c r="I15" s="1" t="s">
        <v>56</v>
      </c>
      <c r="J15" s="1" t="s">
        <v>33</v>
      </c>
    </row>
    <row r="16">
      <c r="B16" s="29">
        <v>46098.0</v>
      </c>
      <c r="C16" s="1" t="s">
        <v>29</v>
      </c>
      <c r="D16" s="25"/>
      <c r="E16" s="1" t="s">
        <v>57</v>
      </c>
      <c r="F16" s="25"/>
      <c r="G16" s="7" t="s">
        <v>55</v>
      </c>
      <c r="H16" s="1" t="s">
        <v>58</v>
      </c>
      <c r="I16" s="1" t="s">
        <v>59</v>
      </c>
      <c r="J16" s="1" t="s">
        <v>33</v>
      </c>
    </row>
    <row r="17">
      <c r="B17" s="29">
        <v>46101.0</v>
      </c>
      <c r="C17" s="1" t="s">
        <v>60</v>
      </c>
      <c r="D17" s="25"/>
      <c r="E17" s="1" t="s">
        <v>61</v>
      </c>
      <c r="F17" s="25"/>
      <c r="G17" s="30" t="s">
        <v>62</v>
      </c>
      <c r="H17" s="1" t="s">
        <v>63</v>
      </c>
      <c r="I17" s="1" t="s">
        <v>64</v>
      </c>
      <c r="J17" s="1" t="s">
        <v>36</v>
      </c>
    </row>
    <row r="18" ht="18.0" customHeight="1">
      <c r="B18" s="29">
        <v>46102.0</v>
      </c>
      <c r="C18" s="1" t="s">
        <v>65</v>
      </c>
      <c r="D18" s="25"/>
      <c r="E18" s="1" t="s">
        <v>66</v>
      </c>
      <c r="F18" s="25"/>
      <c r="G18" s="7" t="s">
        <v>67</v>
      </c>
      <c r="H18" s="1" t="s">
        <v>68</v>
      </c>
      <c r="I18" s="1" t="s">
        <v>69</v>
      </c>
      <c r="J18" s="1" t="s">
        <v>36</v>
      </c>
    </row>
    <row r="19">
      <c r="B19" s="27">
        <v>46105.0</v>
      </c>
      <c r="C19" s="1" t="s">
        <v>70</v>
      </c>
      <c r="D19" s="25"/>
      <c r="E19" s="1" t="s">
        <v>71</v>
      </c>
      <c r="F19" s="7" t="s">
        <v>72</v>
      </c>
      <c r="G19" s="7" t="s">
        <v>55</v>
      </c>
      <c r="H19" s="1" t="s">
        <v>73</v>
      </c>
      <c r="I19" s="1" t="s">
        <v>74</v>
      </c>
      <c r="J19" s="1" t="s">
        <v>33</v>
      </c>
    </row>
    <row r="20">
      <c r="B20" s="29">
        <v>46107.0</v>
      </c>
      <c r="C20" s="1" t="s">
        <v>75</v>
      </c>
      <c r="D20" s="25"/>
      <c r="E20" s="1" t="s">
        <v>76</v>
      </c>
      <c r="F20" s="25"/>
      <c r="G20" s="7" t="s">
        <v>22</v>
      </c>
      <c r="H20" s="1" t="s">
        <v>46</v>
      </c>
      <c r="I20" s="1" t="s">
        <v>77</v>
      </c>
      <c r="J20" s="1" t="s">
        <v>36</v>
      </c>
    </row>
    <row r="21">
      <c r="B21" s="29">
        <v>46107.0</v>
      </c>
      <c r="C21" s="1" t="s">
        <v>78</v>
      </c>
      <c r="D21" s="25"/>
      <c r="E21" s="1" t="s">
        <v>79</v>
      </c>
      <c r="F21" s="25"/>
      <c r="G21" s="31" t="s">
        <v>80</v>
      </c>
      <c r="H21" s="1" t="s">
        <v>81</v>
      </c>
      <c r="I21" s="1" t="s">
        <v>82</v>
      </c>
      <c r="J21" s="1" t="s">
        <v>36</v>
      </c>
    </row>
    <row r="22">
      <c r="B22" s="29">
        <v>46108.0</v>
      </c>
      <c r="C22" s="1" t="s">
        <v>83</v>
      </c>
      <c r="D22" s="25"/>
      <c r="E22" s="1" t="s">
        <v>84</v>
      </c>
      <c r="F22" s="25"/>
      <c r="G22" s="7" t="s">
        <v>85</v>
      </c>
      <c r="H22" s="1" t="s">
        <v>63</v>
      </c>
      <c r="I22" s="1" t="s">
        <v>86</v>
      </c>
      <c r="J22" s="1" t="s">
        <v>25</v>
      </c>
    </row>
    <row r="23">
      <c r="B23" s="29">
        <v>46108.0</v>
      </c>
      <c r="C23" s="1" t="s">
        <v>44</v>
      </c>
      <c r="D23" s="25"/>
      <c r="E23" s="1" t="s">
        <v>87</v>
      </c>
      <c r="F23" s="25"/>
      <c r="G23" s="7" t="s">
        <v>22</v>
      </c>
      <c r="H23" s="1" t="s">
        <v>88</v>
      </c>
      <c r="I23" s="1" t="s">
        <v>89</v>
      </c>
      <c r="J23" s="1" t="s">
        <v>25</v>
      </c>
    </row>
    <row r="24">
      <c r="B24" s="32">
        <v>46111.0</v>
      </c>
      <c r="C24" s="33" t="s">
        <v>90</v>
      </c>
      <c r="D24" s="34"/>
      <c r="E24" s="33" t="s">
        <v>91</v>
      </c>
      <c r="F24" s="35" t="s">
        <v>92</v>
      </c>
      <c r="G24" s="35" t="s">
        <v>22</v>
      </c>
      <c r="H24" s="33" t="s">
        <v>93</v>
      </c>
      <c r="I24" s="33" t="s">
        <v>94</v>
      </c>
      <c r="J24" s="33" t="s">
        <v>95</v>
      </c>
      <c r="K24" s="36">
        <v>46114.0</v>
      </c>
      <c r="L24" s="33" t="s">
        <v>95</v>
      </c>
    </row>
    <row r="25">
      <c r="B25" s="32">
        <v>46111.0</v>
      </c>
      <c r="C25" s="33" t="s">
        <v>90</v>
      </c>
      <c r="D25" s="34"/>
      <c r="E25" s="33" t="s">
        <v>96</v>
      </c>
      <c r="F25" s="35" t="s">
        <v>97</v>
      </c>
      <c r="G25" s="35" t="s">
        <v>22</v>
      </c>
      <c r="H25" s="33" t="s">
        <v>93</v>
      </c>
      <c r="I25" s="33" t="s">
        <v>94</v>
      </c>
      <c r="J25" s="33" t="s">
        <v>95</v>
      </c>
      <c r="K25" s="36">
        <v>46114.0</v>
      </c>
      <c r="L25" s="33" t="s">
        <v>95</v>
      </c>
    </row>
    <row r="26">
      <c r="B26" s="37">
        <v>46111.0</v>
      </c>
      <c r="C26" s="38" t="s">
        <v>90</v>
      </c>
      <c r="D26" s="39"/>
      <c r="E26" s="38" t="s">
        <v>98</v>
      </c>
      <c r="F26" s="40" t="s">
        <v>99</v>
      </c>
      <c r="G26" s="40" t="s">
        <v>22</v>
      </c>
      <c r="H26" s="38" t="s">
        <v>100</v>
      </c>
      <c r="I26" s="38" t="s">
        <v>101</v>
      </c>
      <c r="J26" s="38" t="s">
        <v>95</v>
      </c>
      <c r="K26" s="23"/>
      <c r="L26" s="23"/>
    </row>
    <row r="27">
      <c r="B27" s="32">
        <v>46111.0</v>
      </c>
      <c r="C27" s="33" t="s">
        <v>90</v>
      </c>
      <c r="D27" s="34"/>
      <c r="E27" s="33" t="s">
        <v>102</v>
      </c>
      <c r="F27" s="35" t="s">
        <v>103</v>
      </c>
      <c r="G27" s="35" t="s">
        <v>22</v>
      </c>
      <c r="H27" s="33" t="s">
        <v>100</v>
      </c>
      <c r="I27" s="33" t="s">
        <v>101</v>
      </c>
      <c r="J27" s="33" t="s">
        <v>95</v>
      </c>
      <c r="K27" s="36">
        <v>46114.0</v>
      </c>
      <c r="L27" s="33" t="s">
        <v>95</v>
      </c>
    </row>
    <row r="28">
      <c r="B28" s="32">
        <v>46111.0</v>
      </c>
      <c r="C28" s="33" t="s">
        <v>90</v>
      </c>
      <c r="D28" s="34"/>
      <c r="E28" s="33" t="s">
        <v>104</v>
      </c>
      <c r="F28" s="35" t="s">
        <v>105</v>
      </c>
      <c r="G28" s="35" t="s">
        <v>22</v>
      </c>
      <c r="H28" s="33" t="s">
        <v>106</v>
      </c>
      <c r="I28" s="33" t="s">
        <v>101</v>
      </c>
      <c r="J28" s="33" t="s">
        <v>95</v>
      </c>
      <c r="K28" s="36">
        <v>46114.0</v>
      </c>
      <c r="L28" s="33" t="s">
        <v>95</v>
      </c>
    </row>
    <row r="29">
      <c r="B29" s="32">
        <v>46111.0</v>
      </c>
      <c r="C29" s="33" t="s">
        <v>90</v>
      </c>
      <c r="D29" s="34"/>
      <c r="E29" s="33" t="s">
        <v>107</v>
      </c>
      <c r="F29" s="35" t="s">
        <v>108</v>
      </c>
      <c r="G29" s="35" t="s">
        <v>22</v>
      </c>
      <c r="H29" s="33" t="s">
        <v>109</v>
      </c>
      <c r="I29" s="33" t="s">
        <v>110</v>
      </c>
      <c r="J29" s="33" t="s">
        <v>95</v>
      </c>
      <c r="K29" s="36">
        <v>46114.0</v>
      </c>
      <c r="L29" s="33" t="s">
        <v>95</v>
      </c>
    </row>
    <row r="30">
      <c r="B30" s="24">
        <v>46112.0</v>
      </c>
      <c r="C30" s="1" t="s">
        <v>70</v>
      </c>
      <c r="D30" s="25"/>
      <c r="E30" s="1" t="s">
        <v>111</v>
      </c>
      <c r="F30" s="7" t="s">
        <v>112</v>
      </c>
      <c r="G30" s="7" t="s">
        <v>22</v>
      </c>
      <c r="H30" s="1" t="s">
        <v>109</v>
      </c>
      <c r="I30" s="1" t="s">
        <v>74</v>
      </c>
      <c r="J30" s="1" t="s">
        <v>33</v>
      </c>
    </row>
    <row r="31">
      <c r="B31" s="24">
        <v>46112.0</v>
      </c>
      <c r="C31" s="1" t="s">
        <v>75</v>
      </c>
      <c r="D31" s="25"/>
      <c r="E31" s="1" t="s">
        <v>113</v>
      </c>
      <c r="F31" s="7" t="s">
        <v>114</v>
      </c>
      <c r="G31" s="7" t="s">
        <v>22</v>
      </c>
      <c r="H31" s="1" t="s">
        <v>46</v>
      </c>
      <c r="I31" s="1" t="s">
        <v>115</v>
      </c>
      <c r="J31" s="1" t="s">
        <v>33</v>
      </c>
    </row>
    <row r="32">
      <c r="B32" s="24">
        <v>46112.0</v>
      </c>
      <c r="C32" s="1" t="s">
        <v>75</v>
      </c>
      <c r="D32" s="25"/>
      <c r="E32" s="1" t="s">
        <v>116</v>
      </c>
      <c r="F32" s="7" t="s">
        <v>117</v>
      </c>
      <c r="G32" s="7" t="s">
        <v>118</v>
      </c>
      <c r="H32" s="1" t="s">
        <v>46</v>
      </c>
      <c r="I32" s="1" t="s">
        <v>119</v>
      </c>
      <c r="J32" s="1" t="s">
        <v>33</v>
      </c>
    </row>
    <row r="33">
      <c r="B33" s="24">
        <v>46112.0</v>
      </c>
      <c r="C33" s="1" t="s">
        <v>60</v>
      </c>
      <c r="D33" s="7">
        <v>9.39418042E8</v>
      </c>
      <c r="E33" s="1" t="s">
        <v>120</v>
      </c>
      <c r="F33" s="7">
        <v>9.88817129E8</v>
      </c>
      <c r="G33" s="31" t="s">
        <v>121</v>
      </c>
      <c r="H33" s="1" t="s">
        <v>122</v>
      </c>
      <c r="I33" s="1" t="s">
        <v>123</v>
      </c>
      <c r="J33" s="1" t="s">
        <v>33</v>
      </c>
    </row>
    <row r="34">
      <c r="B34" s="24">
        <v>46112.0</v>
      </c>
      <c r="C34" s="1" t="s">
        <v>60</v>
      </c>
      <c r="D34" s="7">
        <v>9.39418042E8</v>
      </c>
      <c r="E34" s="1" t="s">
        <v>124</v>
      </c>
      <c r="F34" s="7">
        <v>9.67788481E8</v>
      </c>
      <c r="G34" s="31" t="s">
        <v>121</v>
      </c>
      <c r="H34" s="1" t="s">
        <v>122</v>
      </c>
      <c r="I34" s="1" t="s">
        <v>125</v>
      </c>
      <c r="J34" s="1" t="s">
        <v>33</v>
      </c>
    </row>
    <row r="35">
      <c r="A35" s="23"/>
      <c r="B35" s="41">
        <v>46113.0</v>
      </c>
      <c r="C35" s="38" t="s">
        <v>90</v>
      </c>
      <c r="D35" s="39"/>
      <c r="E35" s="38" t="s">
        <v>126</v>
      </c>
      <c r="F35" s="40" t="s">
        <v>127</v>
      </c>
      <c r="G35" s="40" t="s">
        <v>22</v>
      </c>
      <c r="H35" s="38" t="s">
        <v>128</v>
      </c>
      <c r="I35" s="38" t="s">
        <v>129</v>
      </c>
      <c r="J35" s="38" t="s">
        <v>130</v>
      </c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</row>
    <row r="36">
      <c r="A36" s="23"/>
      <c r="B36" s="42">
        <v>46113.0</v>
      </c>
      <c r="C36" s="33" t="s">
        <v>90</v>
      </c>
      <c r="D36" s="34"/>
      <c r="E36" s="33" t="s">
        <v>131</v>
      </c>
      <c r="F36" s="35" t="s">
        <v>132</v>
      </c>
      <c r="G36" s="35" t="s">
        <v>22</v>
      </c>
      <c r="H36" s="33" t="s">
        <v>100</v>
      </c>
      <c r="I36" s="33" t="s">
        <v>133</v>
      </c>
      <c r="J36" s="33" t="s">
        <v>130</v>
      </c>
      <c r="K36" s="43">
        <v>46114.0</v>
      </c>
      <c r="L36" s="33" t="s">
        <v>95</v>
      </c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</row>
    <row r="37">
      <c r="A37" s="23"/>
      <c r="B37" s="42">
        <v>46113.0</v>
      </c>
      <c r="C37" s="33" t="s">
        <v>90</v>
      </c>
      <c r="D37" s="34"/>
      <c r="E37" s="33" t="s">
        <v>134</v>
      </c>
      <c r="F37" s="34"/>
      <c r="G37" s="35" t="s">
        <v>22</v>
      </c>
      <c r="H37" s="33" t="s">
        <v>135</v>
      </c>
      <c r="I37" s="33" t="s">
        <v>136</v>
      </c>
      <c r="J37" s="33" t="s">
        <v>130</v>
      </c>
      <c r="K37" s="33" t="s">
        <v>137</v>
      </c>
      <c r="L37" s="33" t="s">
        <v>138</v>
      </c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</row>
    <row r="38">
      <c r="B38" s="44" t="s">
        <v>139</v>
      </c>
      <c r="C38" s="33" t="s">
        <v>140</v>
      </c>
      <c r="D38" s="34"/>
      <c r="E38" s="33" t="s">
        <v>141</v>
      </c>
      <c r="F38" s="35" t="s">
        <v>142</v>
      </c>
      <c r="G38" s="35" t="s">
        <v>22</v>
      </c>
      <c r="H38" s="33" t="s">
        <v>143</v>
      </c>
      <c r="I38" s="33" t="s">
        <v>144</v>
      </c>
      <c r="J38" s="33" t="s">
        <v>130</v>
      </c>
      <c r="K38" s="36">
        <v>46114.0</v>
      </c>
      <c r="L38" s="33" t="s">
        <v>95</v>
      </c>
    </row>
    <row r="39">
      <c r="B39" s="28">
        <v>46113.0</v>
      </c>
      <c r="C39" s="1" t="s">
        <v>145</v>
      </c>
      <c r="D39" s="25"/>
      <c r="E39" s="1" t="s">
        <v>146</v>
      </c>
      <c r="F39" s="25"/>
      <c r="G39" s="7" t="s">
        <v>22</v>
      </c>
      <c r="H39" s="1" t="s">
        <v>147</v>
      </c>
      <c r="I39" s="1" t="s">
        <v>148</v>
      </c>
      <c r="J39" s="1" t="s">
        <v>24</v>
      </c>
    </row>
    <row r="40">
      <c r="B40" s="42">
        <v>46114.0</v>
      </c>
      <c r="C40" s="33" t="s">
        <v>149</v>
      </c>
      <c r="D40" s="34"/>
      <c r="E40" s="33" t="s">
        <v>150</v>
      </c>
      <c r="F40" s="34"/>
      <c r="G40" s="35" t="s">
        <v>22</v>
      </c>
      <c r="H40" s="33" t="s">
        <v>73</v>
      </c>
      <c r="I40" s="33" t="s">
        <v>148</v>
      </c>
      <c r="J40" s="33" t="s">
        <v>95</v>
      </c>
      <c r="K40" s="43">
        <v>46114.0</v>
      </c>
      <c r="L40" s="33" t="s">
        <v>95</v>
      </c>
    </row>
    <row r="41">
      <c r="B41" s="28">
        <v>46114.0</v>
      </c>
      <c r="C41" s="1" t="s">
        <v>29</v>
      </c>
      <c r="D41" s="25"/>
      <c r="E41" s="1" t="s">
        <v>151</v>
      </c>
      <c r="F41" s="25"/>
      <c r="G41" s="7" t="s">
        <v>22</v>
      </c>
      <c r="H41" s="1" t="s">
        <v>73</v>
      </c>
      <c r="I41" s="1" t="s">
        <v>148</v>
      </c>
      <c r="J41" s="1" t="s">
        <v>95</v>
      </c>
    </row>
    <row r="42">
      <c r="B42" s="28">
        <v>46114.0</v>
      </c>
      <c r="C42" s="1" t="s">
        <v>29</v>
      </c>
      <c r="D42" s="25"/>
      <c r="E42" s="1" t="s">
        <v>152</v>
      </c>
      <c r="F42" s="25"/>
      <c r="G42" s="7" t="s">
        <v>22</v>
      </c>
      <c r="H42" s="1" t="s">
        <v>73</v>
      </c>
      <c r="I42" s="1" t="s">
        <v>69</v>
      </c>
      <c r="J42" s="1" t="s">
        <v>95</v>
      </c>
    </row>
    <row r="43">
      <c r="B43" s="28">
        <v>46114.0</v>
      </c>
      <c r="C43" s="1" t="s">
        <v>29</v>
      </c>
      <c r="D43" s="25"/>
      <c r="E43" s="1" t="s">
        <v>153</v>
      </c>
      <c r="F43" s="25"/>
      <c r="G43" s="7" t="s">
        <v>22</v>
      </c>
      <c r="H43" s="1" t="s">
        <v>73</v>
      </c>
      <c r="I43" s="1" t="s">
        <v>69</v>
      </c>
      <c r="J43" s="1" t="s">
        <v>95</v>
      </c>
    </row>
    <row r="44">
      <c r="A44" s="45"/>
      <c r="B44" s="42">
        <v>46114.0</v>
      </c>
      <c r="C44" s="33" t="s">
        <v>75</v>
      </c>
      <c r="D44" s="34"/>
      <c r="E44" s="33" t="s">
        <v>154</v>
      </c>
      <c r="F44" s="34"/>
      <c r="G44" s="35" t="s">
        <v>22</v>
      </c>
      <c r="H44" s="33" t="s">
        <v>63</v>
      </c>
      <c r="I44" s="33" t="s">
        <v>69</v>
      </c>
      <c r="J44" s="33" t="s">
        <v>95</v>
      </c>
      <c r="K44" s="43">
        <v>46114.0</v>
      </c>
      <c r="L44" s="33" t="s">
        <v>95</v>
      </c>
    </row>
    <row r="45">
      <c r="A45" s="45"/>
      <c r="B45" s="42">
        <v>46114.0</v>
      </c>
      <c r="C45" s="33" t="s">
        <v>149</v>
      </c>
      <c r="D45" s="34"/>
      <c r="E45" s="33" t="s">
        <v>155</v>
      </c>
      <c r="F45" s="34"/>
      <c r="G45" s="35" t="s">
        <v>22</v>
      </c>
      <c r="H45" s="33" t="s">
        <v>156</v>
      </c>
      <c r="I45" s="33" t="s">
        <v>69</v>
      </c>
      <c r="J45" s="33" t="s">
        <v>95</v>
      </c>
      <c r="K45" s="36">
        <v>46114.0</v>
      </c>
      <c r="L45" s="33" t="s">
        <v>95</v>
      </c>
    </row>
    <row r="46">
      <c r="B46" s="28">
        <v>46114.0</v>
      </c>
      <c r="C46" s="1" t="s">
        <v>140</v>
      </c>
      <c r="D46" s="25"/>
      <c r="E46" s="1" t="s">
        <v>157</v>
      </c>
      <c r="F46" s="7" t="s">
        <v>158</v>
      </c>
      <c r="G46" s="7" t="s">
        <v>22</v>
      </c>
      <c r="H46" s="1" t="s">
        <v>93</v>
      </c>
      <c r="I46" s="1" t="s">
        <v>159</v>
      </c>
      <c r="J46" s="1" t="s">
        <v>95</v>
      </c>
      <c r="K46" s="46"/>
    </row>
    <row r="47">
      <c r="A47" s="45"/>
      <c r="B47" s="42">
        <v>46114.0</v>
      </c>
      <c r="C47" s="33" t="s">
        <v>140</v>
      </c>
      <c r="D47" s="34"/>
      <c r="E47" s="33" t="s">
        <v>160</v>
      </c>
      <c r="F47" s="35" t="s">
        <v>161</v>
      </c>
      <c r="G47" s="35" t="s">
        <v>22</v>
      </c>
      <c r="H47" s="33" t="s">
        <v>93</v>
      </c>
      <c r="I47" s="33" t="s">
        <v>159</v>
      </c>
      <c r="J47" s="33" t="s">
        <v>95</v>
      </c>
      <c r="K47" s="36">
        <v>46114.0</v>
      </c>
      <c r="L47" s="33" t="s">
        <v>95</v>
      </c>
    </row>
    <row r="48">
      <c r="B48" s="28">
        <v>46114.0</v>
      </c>
      <c r="C48" s="1" t="s">
        <v>140</v>
      </c>
      <c r="D48" s="25"/>
      <c r="E48" s="1" t="s">
        <v>162</v>
      </c>
      <c r="F48" s="7" t="s">
        <v>163</v>
      </c>
      <c r="G48" s="7" t="s">
        <v>22</v>
      </c>
      <c r="H48" s="1" t="s">
        <v>93</v>
      </c>
      <c r="I48" s="1" t="s">
        <v>159</v>
      </c>
      <c r="J48" s="1" t="s">
        <v>95</v>
      </c>
      <c r="K48" s="47"/>
    </row>
    <row r="49">
      <c r="B49" s="48"/>
      <c r="D49" s="25"/>
      <c r="F49" s="25"/>
      <c r="G49" s="25"/>
    </row>
    <row r="50">
      <c r="B50" s="48"/>
      <c r="D50" s="25"/>
      <c r="F50" s="25"/>
      <c r="G50" s="25"/>
    </row>
    <row r="51">
      <c r="B51" s="48"/>
      <c r="D51" s="25"/>
      <c r="F51" s="25"/>
      <c r="G51" s="25"/>
    </row>
    <row r="52">
      <c r="B52" s="48"/>
      <c r="D52" s="25"/>
      <c r="F52" s="25"/>
      <c r="G52" s="25"/>
    </row>
    <row r="53">
      <c r="B53" s="48"/>
      <c r="D53" s="25"/>
      <c r="F53" s="25"/>
      <c r="G53" s="25"/>
    </row>
    <row r="54">
      <c r="B54" s="48"/>
      <c r="D54" s="25"/>
      <c r="F54" s="25"/>
      <c r="G54" s="25"/>
    </row>
    <row r="55">
      <c r="B55" s="48"/>
      <c r="D55" s="25"/>
      <c r="F55" s="25"/>
      <c r="G55" s="25"/>
    </row>
    <row r="56">
      <c r="B56" s="48"/>
      <c r="D56" s="25"/>
      <c r="F56" s="25"/>
      <c r="G56" s="25"/>
    </row>
    <row r="57">
      <c r="B57" s="48"/>
      <c r="D57" s="25"/>
      <c r="F57" s="25"/>
      <c r="G57" s="25"/>
    </row>
    <row r="58">
      <c r="B58" s="48"/>
      <c r="D58" s="25"/>
      <c r="F58" s="25"/>
      <c r="G58" s="25"/>
    </row>
    <row r="59">
      <c r="B59" s="48"/>
      <c r="D59" s="25"/>
      <c r="F59" s="25"/>
      <c r="G59" s="25"/>
    </row>
    <row r="60">
      <c r="B60" s="48"/>
      <c r="D60" s="25"/>
      <c r="F60" s="25"/>
      <c r="G60" s="25"/>
    </row>
    <row r="61">
      <c r="B61" s="48"/>
      <c r="D61" s="25"/>
      <c r="F61" s="25"/>
      <c r="G61" s="25"/>
    </row>
    <row r="62">
      <c r="B62" s="48"/>
      <c r="D62" s="25"/>
      <c r="F62" s="25"/>
      <c r="G62" s="25"/>
    </row>
    <row r="63">
      <c r="B63" s="48"/>
      <c r="D63" s="25"/>
      <c r="F63" s="25"/>
      <c r="G63" s="25"/>
    </row>
    <row r="64">
      <c r="B64" s="48"/>
      <c r="D64" s="25"/>
      <c r="F64" s="25"/>
      <c r="G64" s="25"/>
    </row>
    <row r="65">
      <c r="B65" s="48"/>
      <c r="D65" s="25"/>
      <c r="F65" s="25"/>
      <c r="G65" s="25"/>
    </row>
    <row r="66">
      <c r="B66" s="48"/>
      <c r="D66" s="25"/>
      <c r="F66" s="25"/>
      <c r="G66" s="25"/>
    </row>
    <row r="67">
      <c r="B67" s="48"/>
      <c r="D67" s="25"/>
      <c r="F67" s="25"/>
      <c r="G67" s="25"/>
    </row>
    <row r="68">
      <c r="B68" s="48"/>
      <c r="D68" s="25"/>
      <c r="F68" s="25"/>
      <c r="G68" s="25"/>
    </row>
    <row r="69">
      <c r="B69" s="48"/>
      <c r="D69" s="25"/>
      <c r="F69" s="25"/>
      <c r="G69" s="25"/>
    </row>
    <row r="70">
      <c r="B70" s="48"/>
      <c r="D70" s="25"/>
      <c r="F70" s="25"/>
      <c r="G70" s="25"/>
    </row>
    <row r="71">
      <c r="B71" s="48"/>
      <c r="D71" s="25"/>
      <c r="F71" s="25"/>
      <c r="G71" s="25"/>
    </row>
    <row r="72">
      <c r="B72" s="48"/>
      <c r="D72" s="25"/>
      <c r="F72" s="25"/>
      <c r="G72" s="25"/>
    </row>
    <row r="73">
      <c r="B73" s="48"/>
      <c r="D73" s="25"/>
      <c r="F73" s="25"/>
      <c r="G73" s="25"/>
    </row>
    <row r="74">
      <c r="B74" s="48"/>
      <c r="D74" s="25"/>
      <c r="F74" s="25"/>
      <c r="G74" s="25"/>
    </row>
    <row r="75">
      <c r="B75" s="48"/>
      <c r="D75" s="25"/>
      <c r="F75" s="25"/>
      <c r="G75" s="25"/>
    </row>
    <row r="76">
      <c r="B76" s="48"/>
      <c r="D76" s="25"/>
      <c r="F76" s="25"/>
      <c r="G76" s="25"/>
    </row>
    <row r="77">
      <c r="B77" s="48"/>
      <c r="D77" s="25"/>
      <c r="F77" s="25"/>
      <c r="G77" s="25"/>
    </row>
    <row r="78">
      <c r="B78" s="48"/>
      <c r="D78" s="25"/>
      <c r="F78" s="25"/>
      <c r="G78" s="25"/>
    </row>
    <row r="79">
      <c r="B79" s="48"/>
      <c r="D79" s="25"/>
      <c r="F79" s="25"/>
      <c r="G79" s="25"/>
    </row>
    <row r="80">
      <c r="B80" s="48"/>
      <c r="D80" s="25"/>
      <c r="F80" s="25"/>
      <c r="G80" s="25"/>
    </row>
    <row r="81">
      <c r="B81" s="48"/>
      <c r="D81" s="25"/>
      <c r="F81" s="25"/>
      <c r="G81" s="25"/>
    </row>
    <row r="82">
      <c r="B82" s="48"/>
      <c r="D82" s="25"/>
      <c r="F82" s="25"/>
      <c r="G82" s="25"/>
    </row>
    <row r="83">
      <c r="B83" s="48"/>
      <c r="D83" s="25"/>
      <c r="F83" s="25"/>
      <c r="G83" s="25"/>
    </row>
    <row r="84">
      <c r="B84" s="48"/>
      <c r="D84" s="25"/>
      <c r="F84" s="25"/>
      <c r="G84" s="25"/>
    </row>
    <row r="85">
      <c r="B85" s="48"/>
      <c r="D85" s="25"/>
      <c r="F85" s="25"/>
      <c r="G85" s="25"/>
    </row>
    <row r="86">
      <c r="B86" s="48"/>
      <c r="D86" s="25"/>
      <c r="F86" s="25"/>
      <c r="G86" s="25"/>
    </row>
    <row r="87">
      <c r="B87" s="48"/>
      <c r="D87" s="25"/>
      <c r="F87" s="25"/>
      <c r="G87" s="25"/>
    </row>
    <row r="88">
      <c r="B88" s="48"/>
      <c r="D88" s="25"/>
      <c r="F88" s="25"/>
      <c r="G88" s="25"/>
    </row>
    <row r="89">
      <c r="B89" s="48"/>
      <c r="D89" s="25"/>
      <c r="F89" s="25"/>
      <c r="G89" s="25"/>
    </row>
    <row r="90">
      <c r="B90" s="48"/>
      <c r="D90" s="25"/>
      <c r="F90" s="25"/>
      <c r="G90" s="25"/>
    </row>
    <row r="91">
      <c r="B91" s="48"/>
      <c r="D91" s="25"/>
      <c r="F91" s="25"/>
      <c r="G91" s="25"/>
    </row>
    <row r="92">
      <c r="B92" s="48"/>
      <c r="D92" s="25"/>
      <c r="F92" s="25"/>
      <c r="G92" s="25"/>
    </row>
    <row r="93">
      <c r="B93" s="48"/>
      <c r="D93" s="25"/>
      <c r="F93" s="25"/>
      <c r="G93" s="25"/>
    </row>
    <row r="94">
      <c r="B94" s="48"/>
      <c r="D94" s="25"/>
      <c r="F94" s="25"/>
      <c r="G94" s="25"/>
    </row>
    <row r="95">
      <c r="B95" s="48"/>
      <c r="D95" s="25"/>
      <c r="F95" s="25"/>
      <c r="G95" s="25"/>
    </row>
    <row r="96">
      <c r="B96" s="48"/>
      <c r="D96" s="25"/>
      <c r="F96" s="25"/>
      <c r="G96" s="25"/>
    </row>
    <row r="97">
      <c r="B97" s="48"/>
      <c r="D97" s="25"/>
      <c r="F97" s="25"/>
      <c r="G97" s="25"/>
    </row>
    <row r="98">
      <c r="B98" s="48"/>
      <c r="D98" s="25"/>
      <c r="F98" s="25"/>
      <c r="G98" s="25"/>
    </row>
    <row r="99">
      <c r="B99" s="48"/>
      <c r="D99" s="25"/>
      <c r="F99" s="25"/>
      <c r="G99" s="25"/>
    </row>
    <row r="100">
      <c r="B100" s="48"/>
      <c r="D100" s="25"/>
      <c r="F100" s="25"/>
      <c r="G100" s="25"/>
    </row>
    <row r="101">
      <c r="B101" s="48"/>
      <c r="D101" s="25"/>
      <c r="F101" s="25"/>
      <c r="G101" s="25"/>
    </row>
    <row r="102">
      <c r="B102" s="48"/>
      <c r="D102" s="25"/>
      <c r="F102" s="25"/>
      <c r="G102" s="25"/>
    </row>
    <row r="103">
      <c r="B103" s="48"/>
      <c r="D103" s="25"/>
      <c r="F103" s="25"/>
      <c r="G103" s="25"/>
    </row>
    <row r="104">
      <c r="B104" s="48"/>
      <c r="D104" s="25"/>
      <c r="F104" s="25"/>
      <c r="G104" s="25"/>
    </row>
    <row r="105">
      <c r="B105" s="48"/>
      <c r="D105" s="25"/>
      <c r="F105" s="25"/>
      <c r="G105" s="25"/>
    </row>
    <row r="106">
      <c r="B106" s="48"/>
      <c r="D106" s="25"/>
      <c r="F106" s="25"/>
      <c r="G106" s="25"/>
    </row>
    <row r="107">
      <c r="B107" s="48"/>
      <c r="D107" s="25"/>
      <c r="F107" s="25"/>
      <c r="G107" s="25"/>
    </row>
    <row r="108">
      <c r="B108" s="48"/>
      <c r="D108" s="25"/>
      <c r="F108" s="25"/>
      <c r="G108" s="25"/>
    </row>
    <row r="109">
      <c r="B109" s="48"/>
      <c r="D109" s="25"/>
      <c r="F109" s="25"/>
      <c r="G109" s="25"/>
    </row>
    <row r="110">
      <c r="B110" s="48"/>
      <c r="D110" s="25"/>
      <c r="F110" s="25"/>
      <c r="G110" s="25"/>
    </row>
    <row r="111">
      <c r="B111" s="48"/>
      <c r="D111" s="25"/>
      <c r="F111" s="25"/>
      <c r="G111" s="25"/>
    </row>
    <row r="112">
      <c r="B112" s="48"/>
      <c r="D112" s="25"/>
      <c r="F112" s="25"/>
      <c r="G112" s="25"/>
    </row>
    <row r="113">
      <c r="B113" s="48"/>
      <c r="D113" s="25"/>
      <c r="F113" s="25"/>
      <c r="G113" s="25"/>
    </row>
    <row r="114">
      <c r="B114" s="48"/>
      <c r="D114" s="25"/>
      <c r="F114" s="25"/>
      <c r="G114" s="25"/>
    </row>
    <row r="115">
      <c r="B115" s="48"/>
      <c r="D115" s="25"/>
      <c r="F115" s="25"/>
      <c r="G115" s="25"/>
    </row>
    <row r="116">
      <c r="B116" s="48"/>
      <c r="D116" s="25"/>
      <c r="F116" s="25"/>
      <c r="G116" s="25"/>
    </row>
    <row r="117">
      <c r="B117" s="48"/>
      <c r="D117" s="25"/>
      <c r="F117" s="25"/>
      <c r="G117" s="25"/>
    </row>
    <row r="118">
      <c r="B118" s="48"/>
      <c r="D118" s="25"/>
      <c r="F118" s="25"/>
      <c r="G118" s="25"/>
    </row>
    <row r="119">
      <c r="B119" s="48"/>
      <c r="D119" s="25"/>
      <c r="F119" s="25"/>
      <c r="G119" s="25"/>
    </row>
    <row r="120">
      <c r="B120" s="48"/>
      <c r="D120" s="25"/>
      <c r="F120" s="25"/>
      <c r="G120" s="25"/>
    </row>
    <row r="121">
      <c r="B121" s="48"/>
      <c r="D121" s="25"/>
      <c r="F121" s="25"/>
      <c r="G121" s="25"/>
    </row>
    <row r="122">
      <c r="B122" s="48"/>
      <c r="D122" s="25"/>
      <c r="F122" s="25"/>
      <c r="G122" s="25"/>
    </row>
    <row r="123">
      <c r="B123" s="48"/>
      <c r="D123" s="25"/>
      <c r="F123" s="25"/>
      <c r="G123" s="25"/>
    </row>
    <row r="124">
      <c r="B124" s="48"/>
      <c r="D124" s="25"/>
      <c r="F124" s="25"/>
      <c r="G124" s="25"/>
    </row>
    <row r="125">
      <c r="B125" s="48"/>
      <c r="D125" s="25"/>
      <c r="F125" s="25"/>
      <c r="G125" s="25"/>
    </row>
    <row r="126">
      <c r="B126" s="48"/>
      <c r="D126" s="25"/>
      <c r="F126" s="25"/>
      <c r="G126" s="25"/>
    </row>
    <row r="127">
      <c r="B127" s="48"/>
      <c r="D127" s="25"/>
      <c r="F127" s="25"/>
      <c r="G127" s="2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3" max="6" width="18.88"/>
    <col customWidth="1" min="8" max="8" width="22.38"/>
    <col customWidth="1" min="10" max="10" width="25.5"/>
  </cols>
  <sheetData>
    <row r="1">
      <c r="A1" s="1" t="s">
        <v>164</v>
      </c>
      <c r="B1" s="49" t="s">
        <v>10</v>
      </c>
      <c r="C1" s="50" t="s">
        <v>11</v>
      </c>
      <c r="D1" s="51" t="s">
        <v>12</v>
      </c>
      <c r="E1" s="52" t="s">
        <v>13</v>
      </c>
      <c r="F1" s="53" t="s">
        <v>12</v>
      </c>
      <c r="G1" s="30" t="s">
        <v>14</v>
      </c>
      <c r="H1" s="54" t="s">
        <v>16</v>
      </c>
      <c r="I1" s="54" t="s">
        <v>17</v>
      </c>
      <c r="J1" s="54" t="s">
        <v>165</v>
      </c>
      <c r="K1" s="26"/>
      <c r="L1" s="25"/>
    </row>
    <row r="2">
      <c r="A2" s="45"/>
      <c r="B2" s="55">
        <v>46024.0</v>
      </c>
      <c r="C2" s="33" t="s">
        <v>166</v>
      </c>
      <c r="D2" s="34"/>
      <c r="E2" s="33" t="s">
        <v>167</v>
      </c>
      <c r="F2" s="35" t="s">
        <v>168</v>
      </c>
      <c r="G2" s="35" t="s">
        <v>27</v>
      </c>
      <c r="H2" s="33" t="s">
        <v>63</v>
      </c>
      <c r="I2" s="33" t="s">
        <v>169</v>
      </c>
      <c r="J2" s="33" t="s">
        <v>25</v>
      </c>
      <c r="K2" s="45"/>
      <c r="L2" s="45"/>
    </row>
    <row r="3">
      <c r="A3" s="45"/>
      <c r="B3" s="55">
        <v>46024.0</v>
      </c>
      <c r="C3" s="33" t="s">
        <v>146</v>
      </c>
      <c r="D3" s="34"/>
      <c r="E3" s="33" t="s">
        <v>170</v>
      </c>
      <c r="F3" s="34"/>
      <c r="G3" s="35" t="s">
        <v>22</v>
      </c>
      <c r="H3" s="45"/>
      <c r="I3" s="45"/>
      <c r="J3" s="45"/>
      <c r="K3" s="56">
        <v>46051.0</v>
      </c>
      <c r="L3" s="33" t="s">
        <v>36</v>
      </c>
    </row>
    <row r="4">
      <c r="A4" s="45"/>
      <c r="B4" s="55">
        <v>46024.0</v>
      </c>
      <c r="C4" s="33" t="s">
        <v>171</v>
      </c>
      <c r="D4" s="34"/>
      <c r="E4" s="33" t="s">
        <v>172</v>
      </c>
      <c r="F4" s="34"/>
      <c r="G4" s="35" t="s">
        <v>22</v>
      </c>
      <c r="H4" s="33" t="s">
        <v>135</v>
      </c>
      <c r="I4" s="33" t="s">
        <v>86</v>
      </c>
      <c r="J4" s="33" t="s">
        <v>25</v>
      </c>
      <c r="K4" s="57">
        <v>46035.0</v>
      </c>
      <c r="L4" s="33" t="s">
        <v>173</v>
      </c>
    </row>
    <row r="5">
      <c r="A5" s="45"/>
      <c r="B5" s="55">
        <v>46025.0</v>
      </c>
      <c r="C5" s="33" t="s">
        <v>36</v>
      </c>
      <c r="D5" s="34"/>
      <c r="E5" s="33" t="s">
        <v>174</v>
      </c>
      <c r="F5" s="34"/>
      <c r="G5" s="35" t="s">
        <v>22</v>
      </c>
      <c r="H5" s="33" t="s">
        <v>46</v>
      </c>
      <c r="I5" s="33" t="s">
        <v>175</v>
      </c>
      <c r="J5" s="33" t="s">
        <v>36</v>
      </c>
      <c r="K5" s="56">
        <v>46028.0</v>
      </c>
      <c r="L5" s="33" t="s">
        <v>33</v>
      </c>
    </row>
    <row r="6">
      <c r="A6" s="45"/>
      <c r="B6" s="55">
        <v>46025.0</v>
      </c>
      <c r="C6" s="33" t="s">
        <v>36</v>
      </c>
      <c r="D6" s="34"/>
      <c r="E6" s="33" t="s">
        <v>176</v>
      </c>
      <c r="F6" s="35" t="s">
        <v>177</v>
      </c>
      <c r="G6" s="35" t="s">
        <v>22</v>
      </c>
      <c r="H6" s="33" t="s">
        <v>46</v>
      </c>
      <c r="I6" s="33" t="s">
        <v>178</v>
      </c>
      <c r="J6" s="33" t="s">
        <v>36</v>
      </c>
      <c r="K6" s="43">
        <v>46025.0</v>
      </c>
      <c r="L6" s="33" t="s">
        <v>36</v>
      </c>
    </row>
    <row r="7">
      <c r="A7" s="45"/>
      <c r="B7" s="55">
        <v>46025.0</v>
      </c>
      <c r="C7" s="33" t="s">
        <v>36</v>
      </c>
      <c r="D7" s="34"/>
      <c r="E7" s="33" t="s">
        <v>179</v>
      </c>
      <c r="F7" s="34"/>
      <c r="G7" s="35" t="s">
        <v>22</v>
      </c>
      <c r="H7" s="33" t="s">
        <v>180</v>
      </c>
      <c r="I7" s="33" t="s">
        <v>181</v>
      </c>
      <c r="J7" s="33" t="s">
        <v>36</v>
      </c>
      <c r="K7" s="43">
        <v>46025.0</v>
      </c>
      <c r="L7" s="33" t="s">
        <v>36</v>
      </c>
    </row>
    <row r="8">
      <c r="A8" s="45"/>
      <c r="B8" s="55">
        <v>46025.0</v>
      </c>
      <c r="C8" s="33" t="s">
        <v>36</v>
      </c>
      <c r="D8" s="34"/>
      <c r="E8" s="33" t="s">
        <v>182</v>
      </c>
      <c r="F8" s="34"/>
      <c r="G8" s="35" t="s">
        <v>22</v>
      </c>
      <c r="H8" s="33" t="s">
        <v>183</v>
      </c>
      <c r="I8" s="33" t="s">
        <v>184</v>
      </c>
      <c r="J8" s="33" t="s">
        <v>36</v>
      </c>
      <c r="K8" s="43">
        <v>46025.0</v>
      </c>
      <c r="L8" s="33" t="s">
        <v>36</v>
      </c>
    </row>
    <row r="9">
      <c r="A9" s="58"/>
      <c r="B9" s="59">
        <v>46025.0</v>
      </c>
      <c r="C9" s="60" t="s">
        <v>185</v>
      </c>
      <c r="D9" s="61"/>
      <c r="E9" s="60" t="s">
        <v>186</v>
      </c>
      <c r="F9" s="61"/>
      <c r="G9" s="62" t="s">
        <v>187</v>
      </c>
      <c r="H9" s="60" t="s">
        <v>68</v>
      </c>
      <c r="I9" s="60" t="s">
        <v>188</v>
      </c>
      <c r="J9" s="60" t="s">
        <v>36</v>
      </c>
      <c r="K9" s="63">
        <v>46029.0</v>
      </c>
      <c r="L9" s="60" t="s">
        <v>24</v>
      </c>
    </row>
    <row r="10">
      <c r="A10" s="45"/>
      <c r="B10" s="55">
        <v>46025.0</v>
      </c>
      <c r="C10" s="33" t="s">
        <v>189</v>
      </c>
      <c r="D10" s="34"/>
      <c r="E10" s="33" t="s">
        <v>190</v>
      </c>
      <c r="F10" s="34"/>
      <c r="G10" s="35" t="s">
        <v>22</v>
      </c>
      <c r="H10" s="45"/>
      <c r="I10" s="33" t="s">
        <v>191</v>
      </c>
      <c r="J10" s="33" t="s">
        <v>36</v>
      </c>
      <c r="K10" s="56">
        <v>46030.0</v>
      </c>
      <c r="L10" s="33" t="s">
        <v>130</v>
      </c>
    </row>
    <row r="11">
      <c r="A11" s="45"/>
      <c r="B11" s="55">
        <v>46025.0</v>
      </c>
      <c r="C11" s="33" t="s">
        <v>36</v>
      </c>
      <c r="D11" s="34"/>
      <c r="E11" s="33" t="s">
        <v>192</v>
      </c>
      <c r="F11" s="35" t="s">
        <v>193</v>
      </c>
      <c r="G11" s="35" t="s">
        <v>22</v>
      </c>
      <c r="H11" s="33" t="s">
        <v>180</v>
      </c>
      <c r="I11" s="33" t="s">
        <v>194</v>
      </c>
      <c r="J11" s="33" t="s">
        <v>36</v>
      </c>
      <c r="K11" s="45"/>
      <c r="L11" s="45"/>
    </row>
    <row r="12">
      <c r="A12" s="58"/>
      <c r="B12" s="59">
        <v>46027.0</v>
      </c>
      <c r="C12" s="60" t="s">
        <v>20</v>
      </c>
      <c r="D12" s="61"/>
      <c r="E12" s="60" t="s">
        <v>195</v>
      </c>
      <c r="F12" s="61"/>
      <c r="G12" s="62" t="s">
        <v>22</v>
      </c>
      <c r="H12" s="60" t="s">
        <v>73</v>
      </c>
      <c r="I12" s="60" t="s">
        <v>196</v>
      </c>
      <c r="J12" s="60" t="s">
        <v>95</v>
      </c>
      <c r="K12" s="58"/>
      <c r="L12" s="58"/>
      <c r="M12" s="58"/>
    </row>
    <row r="13">
      <c r="A13" s="45"/>
      <c r="B13" s="55">
        <v>46028.0</v>
      </c>
      <c r="C13" s="33" t="s">
        <v>197</v>
      </c>
      <c r="D13" s="34"/>
      <c r="E13" s="33" t="s">
        <v>198</v>
      </c>
      <c r="F13" s="34"/>
      <c r="G13" s="35" t="s">
        <v>22</v>
      </c>
      <c r="H13" s="33" t="s">
        <v>199</v>
      </c>
      <c r="I13" s="33" t="s">
        <v>200</v>
      </c>
      <c r="J13" s="33" t="s">
        <v>33</v>
      </c>
      <c r="K13" s="56">
        <v>46030.0</v>
      </c>
      <c r="L13" s="33" t="s">
        <v>130</v>
      </c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</row>
    <row r="14">
      <c r="A14" s="15"/>
      <c r="B14" s="64">
        <v>46029.0</v>
      </c>
      <c r="C14" s="65" t="s">
        <v>201</v>
      </c>
      <c r="D14" s="66"/>
      <c r="E14" s="65" t="s">
        <v>202</v>
      </c>
      <c r="F14" s="66"/>
      <c r="G14" s="67" t="s">
        <v>22</v>
      </c>
      <c r="H14" s="65" t="s">
        <v>156</v>
      </c>
      <c r="I14" s="65" t="s">
        <v>203</v>
      </c>
      <c r="J14" s="65" t="s">
        <v>24</v>
      </c>
      <c r="K14" s="68">
        <v>46031.0</v>
      </c>
      <c r="L14" s="65" t="s">
        <v>25</v>
      </c>
    </row>
    <row r="15">
      <c r="A15" s="45"/>
      <c r="B15" s="69">
        <v>46029.0</v>
      </c>
      <c r="C15" s="33" t="s">
        <v>185</v>
      </c>
      <c r="D15" s="34"/>
      <c r="E15" s="33" t="s">
        <v>204</v>
      </c>
      <c r="F15" s="34"/>
      <c r="G15" s="35" t="s">
        <v>22</v>
      </c>
      <c r="H15" s="33" t="s">
        <v>156</v>
      </c>
      <c r="I15" s="33" t="s">
        <v>148</v>
      </c>
      <c r="J15" s="33" t="s">
        <v>24</v>
      </c>
      <c r="K15" s="56">
        <v>46030.0</v>
      </c>
      <c r="L15" s="33" t="s">
        <v>130</v>
      </c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</row>
    <row r="16">
      <c r="A16" s="45"/>
      <c r="B16" s="44" t="s">
        <v>205</v>
      </c>
      <c r="C16" s="33" t="s">
        <v>206</v>
      </c>
      <c r="D16" s="34"/>
      <c r="E16" s="33" t="s">
        <v>207</v>
      </c>
      <c r="F16" s="35" t="s">
        <v>208</v>
      </c>
      <c r="G16" s="35" t="s">
        <v>22</v>
      </c>
      <c r="H16" s="33" t="s">
        <v>209</v>
      </c>
      <c r="I16" s="33" t="s">
        <v>133</v>
      </c>
      <c r="J16" s="33" t="s">
        <v>130</v>
      </c>
      <c r="K16" s="56">
        <v>46031.0</v>
      </c>
      <c r="L16" s="33" t="s">
        <v>48</v>
      </c>
    </row>
    <row r="17">
      <c r="A17" s="45"/>
      <c r="B17" s="69">
        <v>46030.0</v>
      </c>
      <c r="C17" s="33" t="s">
        <v>206</v>
      </c>
      <c r="D17" s="34"/>
      <c r="E17" s="33" t="s">
        <v>210</v>
      </c>
      <c r="F17" s="35" t="s">
        <v>211</v>
      </c>
      <c r="G17" s="35" t="s">
        <v>22</v>
      </c>
      <c r="H17" s="33" t="s">
        <v>209</v>
      </c>
      <c r="I17" s="33" t="s">
        <v>133</v>
      </c>
      <c r="J17" s="33" t="s">
        <v>212</v>
      </c>
      <c r="K17" s="70">
        <v>46305.0</v>
      </c>
      <c r="L17" s="33" t="s">
        <v>48</v>
      </c>
    </row>
    <row r="18">
      <c r="A18" s="45"/>
      <c r="B18" s="69">
        <v>46030.0</v>
      </c>
      <c r="C18" s="33" t="s">
        <v>140</v>
      </c>
      <c r="D18" s="34"/>
      <c r="E18" s="33" t="s">
        <v>213</v>
      </c>
      <c r="F18" s="35" t="s">
        <v>214</v>
      </c>
      <c r="G18" s="35" t="s">
        <v>22</v>
      </c>
      <c r="H18" s="33" t="s">
        <v>215</v>
      </c>
      <c r="I18" s="33" t="s">
        <v>144</v>
      </c>
      <c r="J18" s="33" t="s">
        <v>130</v>
      </c>
      <c r="K18" s="56">
        <v>46030.0</v>
      </c>
      <c r="L18" s="33" t="s">
        <v>130</v>
      </c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</row>
    <row r="19">
      <c r="A19" s="45"/>
      <c r="B19" s="69">
        <v>46030.0</v>
      </c>
      <c r="C19" s="33" t="s">
        <v>140</v>
      </c>
      <c r="D19" s="34"/>
      <c r="E19" s="33" t="s">
        <v>216</v>
      </c>
      <c r="F19" s="35" t="s">
        <v>217</v>
      </c>
      <c r="G19" s="35" t="s">
        <v>22</v>
      </c>
      <c r="H19" s="33" t="s">
        <v>156</v>
      </c>
      <c r="I19" s="33" t="s">
        <v>218</v>
      </c>
      <c r="J19" s="33" t="s">
        <v>130</v>
      </c>
      <c r="K19" s="56">
        <v>46030.0</v>
      </c>
      <c r="L19" s="33" t="s">
        <v>130</v>
      </c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</row>
    <row r="20">
      <c r="A20" s="45"/>
      <c r="B20" s="69">
        <v>46030.0</v>
      </c>
      <c r="C20" s="33" t="s">
        <v>206</v>
      </c>
      <c r="D20" s="34"/>
      <c r="E20" s="33" t="s">
        <v>219</v>
      </c>
      <c r="F20" s="35" t="s">
        <v>220</v>
      </c>
      <c r="G20" s="35" t="s">
        <v>221</v>
      </c>
      <c r="H20" s="33" t="s">
        <v>209</v>
      </c>
      <c r="I20" s="33" t="s">
        <v>133</v>
      </c>
      <c r="J20" s="33" t="s">
        <v>212</v>
      </c>
      <c r="K20" s="45"/>
      <c r="L20" s="45"/>
    </row>
    <row r="21">
      <c r="A21" s="45"/>
      <c r="B21" s="69">
        <v>46030.0</v>
      </c>
      <c r="C21" s="33" t="s">
        <v>206</v>
      </c>
      <c r="D21" s="34"/>
      <c r="E21" s="33" t="s">
        <v>222</v>
      </c>
      <c r="F21" s="35" t="s">
        <v>223</v>
      </c>
      <c r="G21" s="35" t="s">
        <v>22</v>
      </c>
      <c r="H21" s="33" t="s">
        <v>209</v>
      </c>
      <c r="I21" s="33" t="s">
        <v>133</v>
      </c>
      <c r="J21" s="33" t="s">
        <v>130</v>
      </c>
      <c r="K21" s="45"/>
      <c r="L21" s="45"/>
    </row>
    <row r="22">
      <c r="A22" s="45"/>
      <c r="B22" s="69">
        <v>46031.0</v>
      </c>
      <c r="C22" s="33" t="s">
        <v>146</v>
      </c>
      <c r="D22" s="34"/>
      <c r="E22" s="33" t="s">
        <v>224</v>
      </c>
      <c r="F22" s="34"/>
      <c r="G22" s="35" t="s">
        <v>22</v>
      </c>
      <c r="H22" s="33" t="s">
        <v>156</v>
      </c>
      <c r="I22" s="33" t="s">
        <v>225</v>
      </c>
      <c r="J22" s="33" t="s">
        <v>25</v>
      </c>
      <c r="K22" s="56">
        <v>46032.0</v>
      </c>
      <c r="L22" s="33" t="s">
        <v>48</v>
      </c>
    </row>
    <row r="23">
      <c r="A23" s="15"/>
      <c r="B23" s="64">
        <v>46031.0</v>
      </c>
      <c r="C23" s="65" t="s">
        <v>226</v>
      </c>
      <c r="D23" s="66"/>
      <c r="E23" s="65" t="s">
        <v>227</v>
      </c>
      <c r="F23" s="66"/>
      <c r="G23" s="67" t="s">
        <v>22</v>
      </c>
      <c r="H23" s="65" t="s">
        <v>156</v>
      </c>
      <c r="I23" s="65" t="s">
        <v>228</v>
      </c>
      <c r="J23" s="65" t="s">
        <v>25</v>
      </c>
      <c r="K23" s="68">
        <v>46031.0</v>
      </c>
      <c r="L23" s="65" t="s">
        <v>25</v>
      </c>
    </row>
    <row r="24">
      <c r="A24" s="45"/>
      <c r="B24" s="69">
        <v>46031.0</v>
      </c>
      <c r="C24" s="33" t="s">
        <v>146</v>
      </c>
      <c r="D24" s="34"/>
      <c r="E24" s="33" t="s">
        <v>189</v>
      </c>
      <c r="F24" s="34"/>
      <c r="G24" s="35" t="s">
        <v>22</v>
      </c>
      <c r="H24" s="33" t="s">
        <v>135</v>
      </c>
      <c r="I24" s="33" t="s">
        <v>86</v>
      </c>
      <c r="J24" s="33" t="s">
        <v>25</v>
      </c>
      <c r="K24" s="57">
        <v>46039.0</v>
      </c>
      <c r="L24" s="33" t="s">
        <v>95</v>
      </c>
    </row>
    <row r="25">
      <c r="A25" s="45"/>
      <c r="B25" s="69">
        <v>46031.0</v>
      </c>
      <c r="C25" s="33" t="s">
        <v>229</v>
      </c>
      <c r="D25" s="34"/>
      <c r="E25" s="33" t="s">
        <v>230</v>
      </c>
      <c r="F25" s="34"/>
      <c r="G25" s="35" t="s">
        <v>27</v>
      </c>
      <c r="H25" s="33" t="s">
        <v>156</v>
      </c>
      <c r="I25" s="33" t="s">
        <v>231</v>
      </c>
      <c r="J25" s="33" t="s">
        <v>25</v>
      </c>
      <c r="K25" s="57">
        <v>46042.0</v>
      </c>
      <c r="L25" s="33" t="s">
        <v>33</v>
      </c>
    </row>
    <row r="26">
      <c r="A26" s="45"/>
      <c r="B26" s="69">
        <v>46032.0</v>
      </c>
      <c r="C26" s="33" t="s">
        <v>206</v>
      </c>
      <c r="D26" s="34"/>
      <c r="E26" s="33" t="s">
        <v>232</v>
      </c>
      <c r="F26" s="35" t="s">
        <v>233</v>
      </c>
      <c r="G26" s="35" t="s">
        <v>22</v>
      </c>
      <c r="H26" s="33" t="s">
        <v>63</v>
      </c>
      <c r="I26" s="33" t="s">
        <v>234</v>
      </c>
      <c r="J26" s="33" t="s">
        <v>25</v>
      </c>
      <c r="K26" s="56">
        <v>46035.0</v>
      </c>
      <c r="L26" s="33" t="s">
        <v>33</v>
      </c>
    </row>
    <row r="27">
      <c r="B27" s="71">
        <v>46032.0</v>
      </c>
      <c r="C27" s="72" t="s">
        <v>206</v>
      </c>
      <c r="D27" s="73"/>
      <c r="E27" s="72" t="s">
        <v>235</v>
      </c>
      <c r="F27" s="74" t="s">
        <v>236</v>
      </c>
      <c r="G27" s="74" t="s">
        <v>22</v>
      </c>
      <c r="H27" s="72" t="s">
        <v>63</v>
      </c>
      <c r="I27" s="72" t="s">
        <v>237</v>
      </c>
      <c r="J27" s="72" t="s">
        <v>25</v>
      </c>
      <c r="K27" s="75">
        <v>46036.0</v>
      </c>
      <c r="L27" s="72" t="s">
        <v>238</v>
      </c>
    </row>
    <row r="28">
      <c r="A28" s="45"/>
      <c r="B28" s="69">
        <v>46032.0</v>
      </c>
      <c r="C28" s="33" t="s">
        <v>206</v>
      </c>
      <c r="D28" s="34"/>
      <c r="E28" s="33" t="s">
        <v>239</v>
      </c>
      <c r="F28" s="35" t="s">
        <v>240</v>
      </c>
      <c r="G28" s="35" t="s">
        <v>22</v>
      </c>
      <c r="H28" s="33" t="s">
        <v>63</v>
      </c>
      <c r="I28" s="33" t="s">
        <v>237</v>
      </c>
      <c r="J28" s="33" t="s">
        <v>25</v>
      </c>
      <c r="K28" s="57">
        <v>46034.0</v>
      </c>
      <c r="L28" s="33" t="s">
        <v>95</v>
      </c>
    </row>
    <row r="29">
      <c r="A29" s="45"/>
      <c r="B29" s="76">
        <v>46034.0</v>
      </c>
      <c r="C29" s="33" t="s">
        <v>65</v>
      </c>
      <c r="D29" s="34"/>
      <c r="E29" s="33" t="s">
        <v>241</v>
      </c>
      <c r="F29" s="34"/>
      <c r="G29" s="35" t="s">
        <v>22</v>
      </c>
      <c r="H29" s="33" t="s">
        <v>73</v>
      </c>
      <c r="I29" s="33" t="s">
        <v>242</v>
      </c>
      <c r="J29" s="33" t="s">
        <v>95</v>
      </c>
      <c r="K29" s="57">
        <v>46035.0</v>
      </c>
      <c r="L29" s="33" t="s">
        <v>33</v>
      </c>
    </row>
    <row r="30">
      <c r="A30" s="58"/>
      <c r="B30" s="77">
        <v>46034.0</v>
      </c>
      <c r="C30" s="60" t="s">
        <v>243</v>
      </c>
      <c r="D30" s="61"/>
      <c r="E30" s="60" t="s">
        <v>244</v>
      </c>
      <c r="F30" s="61"/>
      <c r="G30" s="62" t="s">
        <v>22</v>
      </c>
      <c r="H30" s="60" t="s">
        <v>109</v>
      </c>
      <c r="I30" s="60" t="s">
        <v>94</v>
      </c>
      <c r="J30" s="60" t="s">
        <v>95</v>
      </c>
      <c r="K30" s="78">
        <v>46043.0</v>
      </c>
      <c r="L30" s="60" t="s">
        <v>24</v>
      </c>
    </row>
    <row r="31">
      <c r="A31" s="45"/>
      <c r="B31" s="76">
        <v>46035.0</v>
      </c>
      <c r="C31" s="33" t="s">
        <v>206</v>
      </c>
      <c r="D31" s="34"/>
      <c r="E31" s="33" t="s">
        <v>245</v>
      </c>
      <c r="F31" s="34"/>
      <c r="G31" s="35" t="s">
        <v>22</v>
      </c>
      <c r="H31" s="33" t="s">
        <v>183</v>
      </c>
      <c r="I31" s="33" t="s">
        <v>246</v>
      </c>
      <c r="J31" s="33" t="s">
        <v>33</v>
      </c>
      <c r="K31" s="36">
        <v>46035.0</v>
      </c>
      <c r="L31" s="33" t="s">
        <v>33</v>
      </c>
    </row>
    <row r="32">
      <c r="A32" s="45"/>
      <c r="B32" s="76">
        <v>46035.0</v>
      </c>
      <c r="C32" s="33" t="s">
        <v>206</v>
      </c>
      <c r="D32" s="34"/>
      <c r="E32" s="33" t="s">
        <v>247</v>
      </c>
      <c r="F32" s="35" t="s">
        <v>248</v>
      </c>
      <c r="G32" s="35" t="s">
        <v>22</v>
      </c>
      <c r="H32" s="33" t="s">
        <v>68</v>
      </c>
      <c r="I32" s="33" t="s">
        <v>249</v>
      </c>
      <c r="J32" s="33" t="s">
        <v>33</v>
      </c>
      <c r="K32" s="57">
        <v>46035.0</v>
      </c>
      <c r="L32" s="33" t="s">
        <v>33</v>
      </c>
    </row>
    <row r="33">
      <c r="B33" s="76">
        <v>46035.0</v>
      </c>
      <c r="C33" s="33" t="s">
        <v>36</v>
      </c>
      <c r="D33" s="34"/>
      <c r="E33" s="33" t="s">
        <v>250</v>
      </c>
      <c r="F33" s="35" t="s">
        <v>251</v>
      </c>
      <c r="G33" s="35" t="s">
        <v>22</v>
      </c>
      <c r="H33" s="33" t="s">
        <v>199</v>
      </c>
      <c r="I33" s="33" t="s">
        <v>249</v>
      </c>
      <c r="J33" s="33" t="s">
        <v>33</v>
      </c>
      <c r="K33" s="57">
        <v>46036.0</v>
      </c>
      <c r="L33" s="33" t="s">
        <v>238</v>
      </c>
    </row>
    <row r="34">
      <c r="A34" s="45"/>
      <c r="B34" s="76">
        <v>46035.0</v>
      </c>
      <c r="C34" s="33" t="s">
        <v>252</v>
      </c>
      <c r="D34" s="34"/>
      <c r="E34" s="33" t="s">
        <v>253</v>
      </c>
      <c r="F34" s="35" t="s">
        <v>254</v>
      </c>
      <c r="G34" s="35" t="s">
        <v>22</v>
      </c>
      <c r="H34" s="45"/>
      <c r="I34" s="45"/>
      <c r="J34" s="45"/>
      <c r="K34" s="57">
        <v>46039.0</v>
      </c>
      <c r="L34" s="33" t="s">
        <v>95</v>
      </c>
    </row>
    <row r="35">
      <c r="A35" s="45"/>
      <c r="B35" s="76">
        <v>46035.0</v>
      </c>
      <c r="C35" s="33" t="s">
        <v>36</v>
      </c>
      <c r="D35" s="34"/>
      <c r="E35" s="33" t="s">
        <v>255</v>
      </c>
      <c r="F35" s="35" t="s">
        <v>256</v>
      </c>
      <c r="G35" s="35" t="s">
        <v>22</v>
      </c>
      <c r="H35" s="33" t="s">
        <v>199</v>
      </c>
      <c r="I35" s="33" t="s">
        <v>249</v>
      </c>
      <c r="J35" s="33" t="s">
        <v>33</v>
      </c>
      <c r="K35" s="57">
        <v>46039.0</v>
      </c>
      <c r="L35" s="33" t="s">
        <v>95</v>
      </c>
    </row>
    <row r="36">
      <c r="A36" s="45"/>
      <c r="B36" s="76">
        <v>46035.0</v>
      </c>
      <c r="C36" s="33" t="s">
        <v>40</v>
      </c>
      <c r="D36" s="34"/>
      <c r="E36" s="33" t="s">
        <v>257</v>
      </c>
      <c r="F36" s="35"/>
      <c r="G36" s="35" t="s">
        <v>22</v>
      </c>
      <c r="H36" s="33" t="s">
        <v>68</v>
      </c>
      <c r="I36" s="33" t="s">
        <v>258</v>
      </c>
      <c r="J36" s="33" t="s">
        <v>33</v>
      </c>
      <c r="K36" s="56">
        <v>46037.0</v>
      </c>
      <c r="L36" s="33" t="s">
        <v>130</v>
      </c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</row>
    <row r="37">
      <c r="B37" s="76">
        <v>46036.0</v>
      </c>
      <c r="C37" s="33" t="s">
        <v>226</v>
      </c>
      <c r="D37" s="34"/>
      <c r="E37" s="33" t="s">
        <v>259</v>
      </c>
      <c r="F37" s="34"/>
      <c r="G37" s="35" t="s">
        <v>22</v>
      </c>
      <c r="H37" s="33" t="s">
        <v>31</v>
      </c>
      <c r="I37" s="33" t="s">
        <v>260</v>
      </c>
      <c r="J37" s="33" t="s">
        <v>238</v>
      </c>
      <c r="K37" s="56">
        <v>46036.0</v>
      </c>
      <c r="L37" s="33" t="s">
        <v>238</v>
      </c>
    </row>
    <row r="38">
      <c r="A38" s="45"/>
      <c r="B38" s="69">
        <v>46037.0</v>
      </c>
      <c r="C38" s="33" t="s">
        <v>261</v>
      </c>
      <c r="D38" s="35">
        <v>9.73170214E8</v>
      </c>
      <c r="E38" s="33" t="s">
        <v>262</v>
      </c>
      <c r="F38" s="34"/>
      <c r="G38" s="35" t="s">
        <v>22</v>
      </c>
      <c r="H38" s="33" t="s">
        <v>63</v>
      </c>
      <c r="I38" s="33" t="s">
        <v>263</v>
      </c>
      <c r="J38" s="33" t="s">
        <v>130</v>
      </c>
      <c r="K38" s="56">
        <v>46037.0</v>
      </c>
      <c r="L38" s="33" t="s">
        <v>130</v>
      </c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</row>
    <row r="39">
      <c r="A39" s="45"/>
      <c r="B39" s="69">
        <v>46037.0</v>
      </c>
      <c r="C39" s="33" t="s">
        <v>146</v>
      </c>
      <c r="D39" s="34"/>
      <c r="E39" s="33" t="s">
        <v>264</v>
      </c>
      <c r="F39" s="34"/>
      <c r="G39" s="35" t="s">
        <v>22</v>
      </c>
      <c r="H39" s="33" t="s">
        <v>63</v>
      </c>
      <c r="I39" s="33" t="s">
        <v>265</v>
      </c>
      <c r="J39" s="33" t="s">
        <v>130</v>
      </c>
      <c r="K39" s="56">
        <v>46044.0</v>
      </c>
      <c r="L39" s="33" t="s">
        <v>36</v>
      </c>
    </row>
    <row r="40">
      <c r="A40" s="45"/>
      <c r="B40" s="69">
        <v>46037.0</v>
      </c>
      <c r="C40" s="33" t="s">
        <v>146</v>
      </c>
      <c r="D40" s="34"/>
      <c r="E40" s="33" t="s">
        <v>266</v>
      </c>
      <c r="F40" s="34"/>
      <c r="G40" s="35" t="s">
        <v>22</v>
      </c>
      <c r="H40" s="33" t="s">
        <v>63</v>
      </c>
      <c r="I40" s="33" t="s">
        <v>267</v>
      </c>
      <c r="J40" s="33" t="s">
        <v>130</v>
      </c>
      <c r="K40" s="36">
        <v>46051.0</v>
      </c>
      <c r="L40" s="33" t="s">
        <v>36</v>
      </c>
    </row>
    <row r="41">
      <c r="A41" s="45"/>
      <c r="B41" s="69">
        <v>46037.0</v>
      </c>
      <c r="C41" s="33" t="s">
        <v>268</v>
      </c>
      <c r="D41" s="34"/>
      <c r="E41" s="33" t="s">
        <v>24</v>
      </c>
      <c r="F41" s="34"/>
      <c r="G41" s="35" t="s">
        <v>22</v>
      </c>
      <c r="H41" s="33" t="s">
        <v>269</v>
      </c>
      <c r="I41" s="33" t="s">
        <v>148</v>
      </c>
      <c r="J41" s="33" t="s">
        <v>130</v>
      </c>
      <c r="K41" s="45"/>
      <c r="L41" s="45"/>
    </row>
    <row r="42">
      <c r="A42" s="45"/>
      <c r="B42" s="69">
        <v>46038.0</v>
      </c>
      <c r="C42" s="33" t="s">
        <v>270</v>
      </c>
      <c r="D42" s="34"/>
      <c r="E42" s="33" t="s">
        <v>271</v>
      </c>
      <c r="F42" s="34"/>
      <c r="G42" s="35" t="s">
        <v>22</v>
      </c>
      <c r="H42" s="33" t="s">
        <v>88</v>
      </c>
      <c r="I42" s="33" t="s">
        <v>272</v>
      </c>
      <c r="J42" s="33" t="s">
        <v>25</v>
      </c>
      <c r="K42" s="57">
        <v>46042.0</v>
      </c>
      <c r="L42" s="33" t="s">
        <v>33</v>
      </c>
    </row>
    <row r="43">
      <c r="A43" s="45"/>
      <c r="B43" s="76">
        <v>46039.0</v>
      </c>
      <c r="C43" s="33" t="s">
        <v>273</v>
      </c>
      <c r="D43" s="34"/>
      <c r="E43" s="33" t="s">
        <v>146</v>
      </c>
      <c r="F43" s="34"/>
      <c r="G43" s="35" t="s">
        <v>22</v>
      </c>
      <c r="H43" s="33" t="s">
        <v>109</v>
      </c>
      <c r="I43" s="33" t="s">
        <v>274</v>
      </c>
      <c r="J43" s="33" t="s">
        <v>95</v>
      </c>
      <c r="K43" s="57">
        <v>46039.0</v>
      </c>
      <c r="L43" s="33" t="s">
        <v>95</v>
      </c>
    </row>
    <row r="44">
      <c r="A44" s="45"/>
      <c r="B44" s="76">
        <v>46039.0</v>
      </c>
      <c r="C44" s="33" t="s">
        <v>25</v>
      </c>
      <c r="D44" s="34"/>
      <c r="E44" s="33" t="s">
        <v>275</v>
      </c>
      <c r="F44" s="34"/>
      <c r="G44" s="35" t="s">
        <v>22</v>
      </c>
      <c r="H44" s="33" t="s">
        <v>53</v>
      </c>
      <c r="I44" s="33" t="s">
        <v>276</v>
      </c>
      <c r="J44" s="33" t="s">
        <v>95</v>
      </c>
      <c r="K44" s="57">
        <v>46039.0</v>
      </c>
      <c r="L44" s="33" t="s">
        <v>95</v>
      </c>
    </row>
    <row r="45">
      <c r="A45" s="45"/>
      <c r="B45" s="76">
        <v>46039.0</v>
      </c>
      <c r="C45" s="33" t="s">
        <v>149</v>
      </c>
      <c r="D45" s="34"/>
      <c r="E45" s="33" t="s">
        <v>277</v>
      </c>
      <c r="F45" s="34"/>
      <c r="G45" s="35" t="s">
        <v>22</v>
      </c>
      <c r="H45" s="33" t="s">
        <v>135</v>
      </c>
      <c r="I45" s="33" t="s">
        <v>69</v>
      </c>
      <c r="J45" s="33" t="s">
        <v>95</v>
      </c>
      <c r="K45" s="57">
        <v>46039.0</v>
      </c>
      <c r="L45" s="33" t="s">
        <v>95</v>
      </c>
    </row>
    <row r="46">
      <c r="A46" s="45"/>
      <c r="B46" s="76">
        <v>46039.0</v>
      </c>
      <c r="C46" s="33" t="s">
        <v>146</v>
      </c>
      <c r="D46" s="34"/>
      <c r="E46" s="33" t="s">
        <v>278</v>
      </c>
      <c r="F46" s="34"/>
      <c r="G46" s="35" t="s">
        <v>22</v>
      </c>
      <c r="H46" s="33" t="s">
        <v>109</v>
      </c>
      <c r="I46" s="33" t="s">
        <v>267</v>
      </c>
      <c r="J46" s="33" t="s">
        <v>95</v>
      </c>
      <c r="K46" s="57">
        <v>46039.0</v>
      </c>
      <c r="L46" s="33" t="s">
        <v>95</v>
      </c>
    </row>
    <row r="47">
      <c r="A47" s="45"/>
      <c r="B47" s="76">
        <v>46042.0</v>
      </c>
      <c r="C47" s="33" t="s">
        <v>29</v>
      </c>
      <c r="D47" s="34"/>
      <c r="E47" s="33" t="s">
        <v>279</v>
      </c>
      <c r="F47" s="34"/>
      <c r="G47" s="35" t="s">
        <v>22</v>
      </c>
      <c r="H47" s="33" t="s">
        <v>280</v>
      </c>
      <c r="I47" s="33" t="s">
        <v>281</v>
      </c>
      <c r="J47" s="33" t="s">
        <v>33</v>
      </c>
      <c r="K47" s="57">
        <v>46042.0</v>
      </c>
      <c r="L47" s="33" t="s">
        <v>33</v>
      </c>
    </row>
    <row r="48">
      <c r="A48" s="45"/>
      <c r="B48" s="76">
        <v>46042.0</v>
      </c>
      <c r="C48" s="33" t="s">
        <v>282</v>
      </c>
      <c r="D48" s="34"/>
      <c r="E48" s="33" t="s">
        <v>29</v>
      </c>
      <c r="F48" s="34"/>
      <c r="G48" s="35" t="s">
        <v>22</v>
      </c>
      <c r="H48" s="33" t="s">
        <v>81</v>
      </c>
      <c r="I48" s="33" t="s">
        <v>283</v>
      </c>
      <c r="J48" s="33" t="s">
        <v>33</v>
      </c>
      <c r="K48" s="57">
        <v>46042.0</v>
      </c>
      <c r="L48" s="33" t="s">
        <v>33</v>
      </c>
    </row>
    <row r="49">
      <c r="A49" s="58"/>
      <c r="B49" s="77">
        <v>46042.0</v>
      </c>
      <c r="C49" s="60" t="s">
        <v>284</v>
      </c>
      <c r="D49" s="61"/>
      <c r="E49" s="60" t="s">
        <v>285</v>
      </c>
      <c r="F49" s="61"/>
      <c r="G49" s="62" t="s">
        <v>22</v>
      </c>
      <c r="H49" s="60" t="s">
        <v>81</v>
      </c>
      <c r="I49" s="60" t="s">
        <v>286</v>
      </c>
      <c r="J49" s="60" t="s">
        <v>33</v>
      </c>
      <c r="K49" s="79">
        <v>46043.0</v>
      </c>
      <c r="L49" s="60" t="s">
        <v>24</v>
      </c>
    </row>
    <row r="50">
      <c r="A50" s="80"/>
      <c r="B50" s="81">
        <v>46038.0</v>
      </c>
      <c r="C50" s="82" t="s">
        <v>287</v>
      </c>
      <c r="D50" s="83"/>
      <c r="E50" s="82" t="s">
        <v>288</v>
      </c>
      <c r="F50" s="84"/>
      <c r="G50" s="84" t="s">
        <v>289</v>
      </c>
      <c r="H50" s="82" t="s">
        <v>156</v>
      </c>
      <c r="I50" s="82" t="s">
        <v>148</v>
      </c>
      <c r="J50" s="82" t="s">
        <v>25</v>
      </c>
      <c r="K50" s="85">
        <v>46049.0</v>
      </c>
      <c r="L50" s="80" t="s">
        <v>33</v>
      </c>
    </row>
    <row r="51">
      <c r="A51" s="86"/>
      <c r="B51" s="87">
        <v>46042.0</v>
      </c>
      <c r="C51" s="88" t="s">
        <v>290</v>
      </c>
      <c r="D51" s="89"/>
      <c r="E51" s="88" t="s">
        <v>291</v>
      </c>
      <c r="F51" s="90"/>
      <c r="G51" s="90" t="s">
        <v>22</v>
      </c>
      <c r="H51" s="88" t="s">
        <v>81</v>
      </c>
      <c r="I51" s="88" t="s">
        <v>292</v>
      </c>
      <c r="J51" s="88" t="s">
        <v>33</v>
      </c>
      <c r="K51" s="91">
        <v>46043.0</v>
      </c>
      <c r="L51" s="86" t="s">
        <v>24</v>
      </c>
    </row>
    <row r="52">
      <c r="A52" s="45"/>
      <c r="B52" s="32">
        <v>46043.0</v>
      </c>
      <c r="C52" s="33" t="s">
        <v>293</v>
      </c>
      <c r="D52" s="34"/>
      <c r="E52" s="33" t="s">
        <v>29</v>
      </c>
      <c r="F52" s="34"/>
      <c r="G52" s="35" t="s">
        <v>22</v>
      </c>
      <c r="H52" s="33" t="s">
        <v>294</v>
      </c>
      <c r="I52" s="33" t="s">
        <v>295</v>
      </c>
      <c r="J52" s="33" t="s">
        <v>24</v>
      </c>
      <c r="K52" s="33" t="s">
        <v>296</v>
      </c>
      <c r="L52" s="33" t="s">
        <v>33</v>
      </c>
    </row>
    <row r="53">
      <c r="A53" s="92"/>
      <c r="B53" s="93">
        <v>46043.0</v>
      </c>
      <c r="C53" s="94" t="s">
        <v>44</v>
      </c>
      <c r="D53" s="95"/>
      <c r="E53" s="94" t="s">
        <v>297</v>
      </c>
      <c r="F53" s="95"/>
      <c r="G53" s="95" t="s">
        <v>22</v>
      </c>
      <c r="H53" s="94" t="s">
        <v>298</v>
      </c>
      <c r="I53" s="94" t="s">
        <v>299</v>
      </c>
      <c r="J53" s="94" t="s">
        <v>24</v>
      </c>
      <c r="K53" s="96">
        <v>46045.0</v>
      </c>
      <c r="L53" s="92" t="s">
        <v>48</v>
      </c>
    </row>
    <row r="54">
      <c r="A54" s="80"/>
      <c r="B54" s="97">
        <v>46044.0</v>
      </c>
      <c r="C54" s="82" t="s">
        <v>36</v>
      </c>
      <c r="D54" s="83"/>
      <c r="E54" s="82" t="s">
        <v>300</v>
      </c>
      <c r="F54" s="84"/>
      <c r="G54" s="84" t="s">
        <v>22</v>
      </c>
      <c r="H54" s="82" t="s">
        <v>183</v>
      </c>
      <c r="I54" s="82" t="s">
        <v>69</v>
      </c>
      <c r="J54" s="82" t="s">
        <v>36</v>
      </c>
      <c r="K54" s="85">
        <v>46045.0</v>
      </c>
      <c r="L54" s="80" t="s">
        <v>48</v>
      </c>
    </row>
    <row r="55">
      <c r="A55" s="80"/>
      <c r="B55" s="97">
        <v>46044.0</v>
      </c>
      <c r="C55" s="82" t="s">
        <v>36</v>
      </c>
      <c r="D55" s="83"/>
      <c r="E55" s="82" t="s">
        <v>301</v>
      </c>
      <c r="F55" s="84" t="s">
        <v>302</v>
      </c>
      <c r="G55" s="84" t="s">
        <v>55</v>
      </c>
      <c r="H55" s="82" t="s">
        <v>183</v>
      </c>
      <c r="I55" s="82" t="s">
        <v>303</v>
      </c>
      <c r="J55" s="82" t="s">
        <v>36</v>
      </c>
      <c r="K55" s="80" t="s">
        <v>304</v>
      </c>
      <c r="L55" s="80" t="s">
        <v>48</v>
      </c>
    </row>
    <row r="56">
      <c r="A56" s="80"/>
      <c r="B56" s="97">
        <v>46044.0</v>
      </c>
      <c r="C56" s="82" t="s">
        <v>36</v>
      </c>
      <c r="D56" s="83"/>
      <c r="E56" s="82" t="s">
        <v>305</v>
      </c>
      <c r="F56" s="83" t="s">
        <v>306</v>
      </c>
      <c r="G56" s="84" t="s">
        <v>22</v>
      </c>
      <c r="H56" s="82" t="s">
        <v>183</v>
      </c>
      <c r="I56" s="82" t="s">
        <v>303</v>
      </c>
      <c r="J56" s="82" t="s">
        <v>36</v>
      </c>
      <c r="K56" s="98">
        <v>46046.0</v>
      </c>
      <c r="L56" s="80" t="s">
        <v>95</v>
      </c>
    </row>
    <row r="57">
      <c r="A57" s="80"/>
      <c r="B57" s="97">
        <v>46044.0</v>
      </c>
      <c r="C57" s="82" t="s">
        <v>44</v>
      </c>
      <c r="D57" s="83"/>
      <c r="E57" s="82" t="s">
        <v>307</v>
      </c>
      <c r="F57" s="84"/>
      <c r="G57" s="84" t="s">
        <v>22</v>
      </c>
      <c r="H57" s="82" t="s">
        <v>81</v>
      </c>
      <c r="I57" s="82" t="s">
        <v>308</v>
      </c>
      <c r="J57" s="82" t="s">
        <v>36</v>
      </c>
      <c r="K57" s="98">
        <v>46046.0</v>
      </c>
      <c r="L57" s="80" t="s">
        <v>95</v>
      </c>
    </row>
    <row r="58">
      <c r="A58" s="92"/>
      <c r="B58" s="93">
        <v>46044.0</v>
      </c>
      <c r="C58" s="94" t="s">
        <v>309</v>
      </c>
      <c r="D58" s="99"/>
      <c r="E58" s="94" t="s">
        <v>310</v>
      </c>
      <c r="F58" s="99"/>
      <c r="G58" s="95" t="s">
        <v>22</v>
      </c>
      <c r="H58" s="94" t="s">
        <v>199</v>
      </c>
      <c r="I58" s="94" t="s">
        <v>311</v>
      </c>
      <c r="J58" s="94" t="s">
        <v>36</v>
      </c>
      <c r="K58" s="96">
        <v>46045.0</v>
      </c>
      <c r="L58" s="92" t="s">
        <v>48</v>
      </c>
    </row>
    <row r="59">
      <c r="A59" s="58"/>
      <c r="B59" s="100">
        <v>46044.0</v>
      </c>
      <c r="C59" s="60" t="s">
        <v>140</v>
      </c>
      <c r="D59" s="61"/>
      <c r="E59" s="60" t="s">
        <v>157</v>
      </c>
      <c r="F59" s="62" t="s">
        <v>312</v>
      </c>
      <c r="G59" s="62" t="s">
        <v>22</v>
      </c>
      <c r="H59" s="60" t="s">
        <v>191</v>
      </c>
      <c r="I59" s="60" t="s">
        <v>313</v>
      </c>
      <c r="J59" s="60" t="s">
        <v>36</v>
      </c>
      <c r="K59" s="78">
        <v>46050.0</v>
      </c>
      <c r="L59" s="60" t="s">
        <v>24</v>
      </c>
    </row>
    <row r="60">
      <c r="A60" s="80"/>
      <c r="B60" s="97">
        <v>46045.0</v>
      </c>
      <c r="C60" s="82" t="s">
        <v>314</v>
      </c>
      <c r="D60" s="83"/>
      <c r="E60" s="82" t="s">
        <v>315</v>
      </c>
      <c r="F60" s="83"/>
      <c r="G60" s="84" t="s">
        <v>22</v>
      </c>
      <c r="H60" s="82" t="s">
        <v>109</v>
      </c>
      <c r="I60" s="82" t="s">
        <v>148</v>
      </c>
      <c r="J60" s="82" t="s">
        <v>25</v>
      </c>
      <c r="K60" s="98">
        <v>46046.0</v>
      </c>
      <c r="L60" s="80" t="s">
        <v>95</v>
      </c>
    </row>
    <row r="61">
      <c r="A61" s="80"/>
      <c r="B61" s="101">
        <v>46046.0</v>
      </c>
      <c r="C61" s="82" t="s">
        <v>290</v>
      </c>
      <c r="D61" s="83"/>
      <c r="E61" s="82" t="s">
        <v>285</v>
      </c>
      <c r="F61" s="83"/>
      <c r="G61" s="84" t="s">
        <v>22</v>
      </c>
      <c r="H61" s="82" t="s">
        <v>135</v>
      </c>
      <c r="I61" s="82" t="s">
        <v>69</v>
      </c>
      <c r="J61" s="82" t="s">
        <v>95</v>
      </c>
      <c r="K61" s="98">
        <v>46046.0</v>
      </c>
      <c r="L61" s="80" t="s">
        <v>95</v>
      </c>
    </row>
    <row r="62">
      <c r="A62" s="80"/>
      <c r="B62" s="101">
        <v>46048.0</v>
      </c>
      <c r="C62" s="82" t="s">
        <v>243</v>
      </c>
      <c r="D62" s="83"/>
      <c r="E62" s="82" t="s">
        <v>316</v>
      </c>
      <c r="F62" s="84" t="s">
        <v>317</v>
      </c>
      <c r="G62" s="84" t="s">
        <v>318</v>
      </c>
      <c r="H62" s="82" t="s">
        <v>319</v>
      </c>
      <c r="I62" s="82" t="s">
        <v>320</v>
      </c>
      <c r="J62" s="82" t="s">
        <v>95</v>
      </c>
      <c r="K62" s="98">
        <v>46048.0</v>
      </c>
      <c r="L62" s="80" t="s">
        <v>95</v>
      </c>
    </row>
    <row r="63">
      <c r="A63" s="86"/>
      <c r="B63" s="87">
        <v>46049.0</v>
      </c>
      <c r="C63" s="88" t="s">
        <v>321</v>
      </c>
      <c r="D63" s="89"/>
      <c r="E63" s="88" t="s">
        <v>322</v>
      </c>
      <c r="F63" s="90"/>
      <c r="G63" s="90" t="s">
        <v>22</v>
      </c>
      <c r="H63" s="88" t="s">
        <v>68</v>
      </c>
      <c r="I63" s="88" t="s">
        <v>323</v>
      </c>
      <c r="J63" s="88" t="s">
        <v>33</v>
      </c>
      <c r="K63" s="102">
        <v>46050.0</v>
      </c>
      <c r="L63" s="86" t="s">
        <v>24</v>
      </c>
    </row>
    <row r="64">
      <c r="A64" s="80"/>
      <c r="B64" s="101">
        <v>46049.0</v>
      </c>
      <c r="C64" s="82" t="s">
        <v>321</v>
      </c>
      <c r="D64" s="83"/>
      <c r="E64" s="82" t="s">
        <v>324</v>
      </c>
      <c r="F64" s="84"/>
      <c r="G64" s="84" t="s">
        <v>22</v>
      </c>
      <c r="H64" s="82" t="s">
        <v>68</v>
      </c>
      <c r="I64" s="82" t="s">
        <v>325</v>
      </c>
      <c r="J64" s="82" t="s">
        <v>33</v>
      </c>
      <c r="K64" s="98">
        <v>46049.0</v>
      </c>
      <c r="L64" s="80" t="s">
        <v>33</v>
      </c>
    </row>
    <row r="65">
      <c r="A65" s="15"/>
      <c r="B65" s="103">
        <v>46049.0</v>
      </c>
      <c r="C65" s="65" t="s">
        <v>326</v>
      </c>
      <c r="D65" s="66"/>
      <c r="E65" s="65" t="s">
        <v>327</v>
      </c>
      <c r="F65" s="66"/>
      <c r="G65" s="67" t="s">
        <v>22</v>
      </c>
      <c r="H65" s="65" t="s">
        <v>68</v>
      </c>
      <c r="I65" s="65" t="s">
        <v>328</v>
      </c>
      <c r="J65" s="65" t="s">
        <v>33</v>
      </c>
      <c r="K65" s="68">
        <v>46052.0</v>
      </c>
      <c r="L65" s="65" t="s">
        <v>25</v>
      </c>
    </row>
    <row r="66">
      <c r="A66" s="86"/>
      <c r="B66" s="87">
        <v>46050.0</v>
      </c>
      <c r="C66" s="88" t="s">
        <v>321</v>
      </c>
      <c r="D66" s="89"/>
      <c r="E66" s="88" t="s">
        <v>329</v>
      </c>
      <c r="F66" s="90" t="s">
        <v>330</v>
      </c>
      <c r="G66" s="90" t="s">
        <v>22</v>
      </c>
      <c r="H66" s="88" t="s">
        <v>135</v>
      </c>
      <c r="I66" s="88" t="s">
        <v>148</v>
      </c>
      <c r="J66" s="88" t="s">
        <v>24</v>
      </c>
      <c r="K66" s="102">
        <v>46050.0</v>
      </c>
      <c r="L66" s="86" t="s">
        <v>24</v>
      </c>
    </row>
    <row r="67">
      <c r="A67" s="86"/>
      <c r="B67" s="104">
        <v>46050.0</v>
      </c>
      <c r="C67" s="88" t="s">
        <v>149</v>
      </c>
      <c r="D67" s="89"/>
      <c r="E67" s="88" t="s">
        <v>331</v>
      </c>
      <c r="F67" s="90"/>
      <c r="G67" s="90" t="s">
        <v>22</v>
      </c>
      <c r="H67" s="88" t="s">
        <v>332</v>
      </c>
      <c r="I67" s="88" t="s">
        <v>148</v>
      </c>
      <c r="J67" s="88" t="s">
        <v>24</v>
      </c>
      <c r="K67" s="102">
        <v>46050.0</v>
      </c>
      <c r="L67" s="86" t="s">
        <v>24</v>
      </c>
    </row>
    <row r="68">
      <c r="A68" s="58"/>
      <c r="B68" s="77">
        <v>46050.0</v>
      </c>
      <c r="C68" s="60" t="s">
        <v>321</v>
      </c>
      <c r="D68" s="61"/>
      <c r="E68" s="60" t="s">
        <v>333</v>
      </c>
      <c r="F68" s="61"/>
      <c r="G68" s="62" t="s">
        <v>22</v>
      </c>
      <c r="H68" s="60" t="s">
        <v>135</v>
      </c>
      <c r="I68" s="60" t="s">
        <v>148</v>
      </c>
      <c r="J68" s="60" t="s">
        <v>24</v>
      </c>
      <c r="K68" s="79">
        <v>46050.0</v>
      </c>
      <c r="L68" s="60" t="s">
        <v>24</v>
      </c>
    </row>
    <row r="69">
      <c r="A69" s="45"/>
      <c r="B69" s="32">
        <v>46051.0</v>
      </c>
      <c r="C69" s="33" t="s">
        <v>75</v>
      </c>
      <c r="D69" s="34"/>
      <c r="E69" s="33" t="s">
        <v>334</v>
      </c>
      <c r="F69" s="34"/>
      <c r="G69" s="35" t="s">
        <v>22</v>
      </c>
      <c r="H69" s="33" t="s">
        <v>81</v>
      </c>
      <c r="I69" s="33" t="s">
        <v>133</v>
      </c>
      <c r="J69" s="33" t="s">
        <v>36</v>
      </c>
      <c r="K69" s="33">
        <v>29.0</v>
      </c>
      <c r="L69" s="33" t="s">
        <v>36</v>
      </c>
    </row>
    <row r="70">
      <c r="A70" s="45"/>
      <c r="B70" s="32">
        <v>46051.0</v>
      </c>
      <c r="C70" s="33" t="s">
        <v>75</v>
      </c>
      <c r="D70" s="34"/>
      <c r="E70" s="33" t="s">
        <v>335</v>
      </c>
      <c r="F70" s="35" t="s">
        <v>336</v>
      </c>
      <c r="G70" s="35" t="s">
        <v>22</v>
      </c>
      <c r="H70" s="33" t="s">
        <v>81</v>
      </c>
      <c r="I70" s="33" t="s">
        <v>133</v>
      </c>
      <c r="J70" s="33" t="s">
        <v>36</v>
      </c>
      <c r="K70" s="36">
        <v>46053.0</v>
      </c>
      <c r="L70" s="33" t="s">
        <v>33</v>
      </c>
    </row>
    <row r="71">
      <c r="A71" s="45"/>
      <c r="B71" s="32">
        <v>46051.0</v>
      </c>
      <c r="C71" s="33" t="s">
        <v>337</v>
      </c>
      <c r="D71" s="34"/>
      <c r="E71" s="33" t="s">
        <v>29</v>
      </c>
      <c r="F71" s="34"/>
      <c r="G71" s="35" t="s">
        <v>22</v>
      </c>
      <c r="H71" s="33" t="s">
        <v>199</v>
      </c>
      <c r="I71" s="33" t="s">
        <v>338</v>
      </c>
      <c r="J71" s="33" t="s">
        <v>36</v>
      </c>
      <c r="K71" s="56">
        <v>46051.0</v>
      </c>
      <c r="L71" s="33" t="s">
        <v>36</v>
      </c>
    </row>
    <row r="72">
      <c r="A72" s="45"/>
      <c r="B72" s="32">
        <v>46051.0</v>
      </c>
      <c r="C72" s="33" t="s">
        <v>339</v>
      </c>
      <c r="D72" s="34"/>
      <c r="E72" s="33" t="s">
        <v>29</v>
      </c>
      <c r="F72" s="34"/>
      <c r="G72" s="35" t="s">
        <v>22</v>
      </c>
      <c r="H72" s="33" t="s">
        <v>106</v>
      </c>
      <c r="I72" s="33" t="s">
        <v>295</v>
      </c>
      <c r="J72" s="33" t="s">
        <v>36</v>
      </c>
      <c r="K72" s="56">
        <v>46051.0</v>
      </c>
      <c r="L72" s="33" t="s">
        <v>36</v>
      </c>
    </row>
    <row r="73">
      <c r="A73" s="45"/>
      <c r="B73" s="32">
        <v>46051.0</v>
      </c>
      <c r="C73" s="33" t="s">
        <v>37</v>
      </c>
      <c r="D73" s="34"/>
      <c r="E73" s="33" t="s">
        <v>340</v>
      </c>
      <c r="F73" s="34"/>
      <c r="G73" s="35" t="s">
        <v>341</v>
      </c>
      <c r="H73" s="33" t="s">
        <v>191</v>
      </c>
      <c r="I73" s="33" t="s">
        <v>342</v>
      </c>
      <c r="J73" s="33" t="s">
        <v>36</v>
      </c>
      <c r="K73" s="56">
        <v>46052.0</v>
      </c>
      <c r="L73" s="33" t="s">
        <v>25</v>
      </c>
    </row>
    <row r="74">
      <c r="A74" s="45"/>
      <c r="B74" s="32">
        <v>46051.0</v>
      </c>
      <c r="C74" s="33" t="s">
        <v>343</v>
      </c>
      <c r="D74" s="34"/>
      <c r="E74" s="33" t="s">
        <v>344</v>
      </c>
      <c r="F74" s="35" t="s">
        <v>345</v>
      </c>
      <c r="G74" s="35" t="s">
        <v>22</v>
      </c>
      <c r="H74" s="33" t="s">
        <v>199</v>
      </c>
      <c r="I74" s="33" t="s">
        <v>148</v>
      </c>
      <c r="J74" s="33" t="s">
        <v>36</v>
      </c>
      <c r="K74" s="45"/>
      <c r="L74" s="33" t="s">
        <v>36</v>
      </c>
    </row>
    <row r="75">
      <c r="A75" s="58"/>
      <c r="B75" s="100">
        <v>46051.0</v>
      </c>
      <c r="C75" s="60" t="s">
        <v>343</v>
      </c>
      <c r="D75" s="61"/>
      <c r="E75" s="60" t="s">
        <v>346</v>
      </c>
      <c r="F75" s="62" t="s">
        <v>347</v>
      </c>
      <c r="G75" s="62" t="s">
        <v>22</v>
      </c>
      <c r="H75" s="60" t="s">
        <v>199</v>
      </c>
      <c r="I75" s="60" t="s">
        <v>148</v>
      </c>
      <c r="J75" s="60" t="s">
        <v>36</v>
      </c>
      <c r="K75" s="63">
        <v>46057.0</v>
      </c>
      <c r="L75" s="60" t="s">
        <v>24</v>
      </c>
    </row>
    <row r="76">
      <c r="A76" s="15"/>
      <c r="B76" s="105">
        <v>46052.0</v>
      </c>
      <c r="C76" s="65" t="s">
        <v>348</v>
      </c>
      <c r="D76" s="66"/>
      <c r="E76" s="65" t="s">
        <v>29</v>
      </c>
      <c r="F76" s="66"/>
      <c r="G76" s="67" t="s">
        <v>22</v>
      </c>
      <c r="H76" s="65" t="s">
        <v>73</v>
      </c>
      <c r="I76" s="65" t="s">
        <v>349</v>
      </c>
      <c r="J76" s="65" t="s">
        <v>25</v>
      </c>
      <c r="K76" s="68">
        <v>46052.0</v>
      </c>
      <c r="L76" s="65" t="s">
        <v>25</v>
      </c>
    </row>
    <row r="77">
      <c r="A77" s="45"/>
      <c r="B77" s="32">
        <v>46052.0</v>
      </c>
      <c r="C77" s="33" t="s">
        <v>146</v>
      </c>
      <c r="D77" s="34"/>
      <c r="E77" s="33" t="s">
        <v>339</v>
      </c>
      <c r="F77" s="34"/>
      <c r="G77" s="35" t="s">
        <v>22</v>
      </c>
      <c r="H77" s="33" t="s">
        <v>109</v>
      </c>
      <c r="I77" s="33" t="s">
        <v>350</v>
      </c>
      <c r="J77" s="33" t="s">
        <v>25</v>
      </c>
      <c r="K77" s="56"/>
      <c r="L77" s="33" t="s">
        <v>351</v>
      </c>
    </row>
    <row r="78">
      <c r="A78" s="45"/>
      <c r="B78" s="32">
        <v>46053.0</v>
      </c>
      <c r="C78" s="33" t="s">
        <v>352</v>
      </c>
      <c r="D78" s="34"/>
      <c r="E78" s="33" t="s">
        <v>29</v>
      </c>
      <c r="F78" s="34"/>
      <c r="G78" s="35" t="s">
        <v>55</v>
      </c>
      <c r="H78" s="33" t="s">
        <v>353</v>
      </c>
      <c r="I78" s="33" t="s">
        <v>354</v>
      </c>
      <c r="J78" s="33" t="s">
        <v>33</v>
      </c>
      <c r="K78" s="106">
        <v>46055.0</v>
      </c>
      <c r="L78" s="33" t="s">
        <v>95</v>
      </c>
    </row>
    <row r="79">
      <c r="A79" s="45"/>
      <c r="B79" s="32">
        <v>46053.0</v>
      </c>
      <c r="C79" s="33" t="s">
        <v>75</v>
      </c>
      <c r="D79" s="34"/>
      <c r="E79" s="33" t="s">
        <v>355</v>
      </c>
      <c r="F79" s="34"/>
      <c r="G79" s="35" t="s">
        <v>22</v>
      </c>
      <c r="H79" s="33" t="s">
        <v>156</v>
      </c>
      <c r="I79" s="33" t="s">
        <v>356</v>
      </c>
      <c r="J79" s="33" t="s">
        <v>33</v>
      </c>
      <c r="K79" s="56">
        <v>46053.0</v>
      </c>
      <c r="L79" s="33" t="s">
        <v>33</v>
      </c>
    </row>
    <row r="80">
      <c r="A80" s="45"/>
      <c r="B80" s="32">
        <v>46053.0</v>
      </c>
      <c r="C80" s="33" t="s">
        <v>75</v>
      </c>
      <c r="D80" s="34"/>
      <c r="E80" s="33" t="s">
        <v>357</v>
      </c>
      <c r="F80" s="34"/>
      <c r="G80" s="35" t="s">
        <v>358</v>
      </c>
      <c r="H80" s="33" t="s">
        <v>156</v>
      </c>
      <c r="I80" s="33" t="s">
        <v>356</v>
      </c>
      <c r="J80" s="33" t="s">
        <v>33</v>
      </c>
      <c r="K80" s="56">
        <v>46059.0</v>
      </c>
      <c r="L80" s="33" t="s">
        <v>25</v>
      </c>
    </row>
    <row r="81">
      <c r="A81" s="45"/>
      <c r="B81" s="32">
        <v>46053.0</v>
      </c>
      <c r="C81" s="33" t="s">
        <v>359</v>
      </c>
      <c r="D81" s="34"/>
      <c r="E81" s="33" t="s">
        <v>360</v>
      </c>
      <c r="F81" s="34"/>
      <c r="G81" s="35" t="s">
        <v>22</v>
      </c>
      <c r="H81" s="33" t="s">
        <v>50</v>
      </c>
      <c r="I81" s="33" t="s">
        <v>361</v>
      </c>
      <c r="J81" s="33" t="s">
        <v>33</v>
      </c>
      <c r="K81" s="106">
        <v>46055.0</v>
      </c>
      <c r="L81" s="33" t="s">
        <v>95</v>
      </c>
    </row>
    <row r="82">
      <c r="A82" s="45"/>
      <c r="B82" s="55">
        <v>46057.0</v>
      </c>
      <c r="C82" s="33" t="s">
        <v>339</v>
      </c>
      <c r="D82" s="34"/>
      <c r="E82" s="33" t="s">
        <v>29</v>
      </c>
      <c r="F82" s="34"/>
      <c r="G82" s="35" t="s">
        <v>22</v>
      </c>
      <c r="H82" s="33" t="s">
        <v>353</v>
      </c>
      <c r="I82" s="33" t="s">
        <v>350</v>
      </c>
      <c r="J82" s="33" t="s">
        <v>24</v>
      </c>
      <c r="K82" s="45"/>
      <c r="L82" s="33" t="s">
        <v>206</v>
      </c>
    </row>
    <row r="83">
      <c r="A83" s="45"/>
      <c r="B83" s="55">
        <v>46057.0</v>
      </c>
      <c r="C83" s="33" t="s">
        <v>75</v>
      </c>
      <c r="D83" s="34"/>
      <c r="E83" s="33" t="s">
        <v>362</v>
      </c>
      <c r="F83" s="34"/>
      <c r="G83" s="35" t="s">
        <v>22</v>
      </c>
      <c r="H83" s="33" t="s">
        <v>109</v>
      </c>
      <c r="I83" s="33" t="s">
        <v>363</v>
      </c>
      <c r="J83" s="33" t="s">
        <v>24</v>
      </c>
      <c r="K83" s="106">
        <v>46058.0</v>
      </c>
      <c r="L83" s="33" t="s">
        <v>36</v>
      </c>
    </row>
    <row r="84">
      <c r="A84" s="58"/>
      <c r="B84" s="59">
        <v>46057.0</v>
      </c>
      <c r="C84" s="60" t="s">
        <v>75</v>
      </c>
      <c r="D84" s="61"/>
      <c r="E84" s="60" t="s">
        <v>235</v>
      </c>
      <c r="F84" s="62" t="s">
        <v>364</v>
      </c>
      <c r="G84" s="62" t="s">
        <v>22</v>
      </c>
      <c r="H84" s="60" t="s">
        <v>109</v>
      </c>
      <c r="I84" s="60" t="s">
        <v>148</v>
      </c>
      <c r="J84" s="60" t="s">
        <v>24</v>
      </c>
      <c r="K84" s="107">
        <v>46057.0</v>
      </c>
      <c r="L84" s="60" t="s">
        <v>24</v>
      </c>
    </row>
    <row r="85">
      <c r="A85" s="45"/>
      <c r="B85" s="55">
        <v>46057.0</v>
      </c>
      <c r="C85" s="33" t="s">
        <v>75</v>
      </c>
      <c r="D85" s="34"/>
      <c r="E85" s="33" t="s">
        <v>365</v>
      </c>
      <c r="F85" s="34"/>
      <c r="G85" s="35" t="s">
        <v>22</v>
      </c>
      <c r="H85" s="33" t="s">
        <v>109</v>
      </c>
      <c r="I85" s="33" t="s">
        <v>148</v>
      </c>
      <c r="J85" s="33" t="s">
        <v>24</v>
      </c>
      <c r="K85" s="56">
        <v>46064.0</v>
      </c>
      <c r="L85" s="33" t="s">
        <v>366</v>
      </c>
    </row>
    <row r="86">
      <c r="A86" s="45"/>
      <c r="B86" s="55">
        <v>46057.0</v>
      </c>
      <c r="C86" s="33" t="s">
        <v>75</v>
      </c>
      <c r="D86" s="34"/>
      <c r="E86" s="33" t="s">
        <v>367</v>
      </c>
      <c r="F86" s="35" t="s">
        <v>368</v>
      </c>
      <c r="G86" s="35" t="s">
        <v>22</v>
      </c>
      <c r="H86" s="33" t="s">
        <v>109</v>
      </c>
      <c r="I86" s="33" t="s">
        <v>148</v>
      </c>
      <c r="J86" s="33" t="s">
        <v>24</v>
      </c>
      <c r="K86" s="106">
        <v>46058.0</v>
      </c>
      <c r="L86" s="33" t="s">
        <v>36</v>
      </c>
    </row>
    <row r="87">
      <c r="A87" s="58"/>
      <c r="B87" s="59">
        <v>46057.0</v>
      </c>
      <c r="C87" s="60" t="s">
        <v>75</v>
      </c>
      <c r="D87" s="61"/>
      <c r="E87" s="60" t="s">
        <v>369</v>
      </c>
      <c r="F87" s="62" t="s">
        <v>370</v>
      </c>
      <c r="G87" s="62" t="s">
        <v>22</v>
      </c>
      <c r="H87" s="60" t="s">
        <v>109</v>
      </c>
      <c r="I87" s="60" t="s">
        <v>148</v>
      </c>
      <c r="J87" s="60" t="s">
        <v>24</v>
      </c>
      <c r="K87" s="107">
        <v>46057.0</v>
      </c>
      <c r="L87" s="60" t="s">
        <v>24</v>
      </c>
    </row>
    <row r="88">
      <c r="A88" s="45"/>
      <c r="B88" s="55">
        <v>46057.0</v>
      </c>
      <c r="C88" s="33" t="s">
        <v>149</v>
      </c>
      <c r="D88" s="34"/>
      <c r="E88" s="33" t="s">
        <v>371</v>
      </c>
      <c r="F88" s="34"/>
      <c r="G88" s="35" t="s">
        <v>22</v>
      </c>
      <c r="H88" s="33" t="s">
        <v>73</v>
      </c>
      <c r="I88" s="33" t="s">
        <v>148</v>
      </c>
      <c r="J88" s="33" t="s">
        <v>24</v>
      </c>
      <c r="K88" s="106">
        <v>46058.0</v>
      </c>
      <c r="L88" s="33" t="s">
        <v>36</v>
      </c>
    </row>
    <row r="89">
      <c r="A89" s="45"/>
      <c r="B89" s="55">
        <v>46057.0</v>
      </c>
      <c r="C89" s="33" t="s">
        <v>149</v>
      </c>
      <c r="D89" s="34"/>
      <c r="E89" s="33" t="s">
        <v>372</v>
      </c>
      <c r="F89" s="34"/>
      <c r="G89" s="35" t="s">
        <v>22</v>
      </c>
      <c r="H89" s="33" t="s">
        <v>353</v>
      </c>
      <c r="I89" s="33" t="s">
        <v>148</v>
      </c>
      <c r="J89" s="33" t="s">
        <v>24</v>
      </c>
      <c r="K89" s="33" t="s">
        <v>373</v>
      </c>
      <c r="L89" s="33" t="s">
        <v>25</v>
      </c>
    </row>
    <row r="90">
      <c r="A90" s="58"/>
      <c r="B90" s="59">
        <v>46057.0</v>
      </c>
      <c r="C90" s="60" t="s">
        <v>309</v>
      </c>
      <c r="D90" s="61"/>
      <c r="E90" s="60" t="s">
        <v>374</v>
      </c>
      <c r="F90" s="61"/>
      <c r="G90" s="62" t="s">
        <v>22</v>
      </c>
      <c r="H90" s="60" t="s">
        <v>73</v>
      </c>
      <c r="I90" s="60" t="s">
        <v>375</v>
      </c>
      <c r="J90" s="60" t="s">
        <v>24</v>
      </c>
      <c r="K90" s="60" t="s">
        <v>376</v>
      </c>
      <c r="L90" s="60" t="s">
        <v>24</v>
      </c>
    </row>
    <row r="91">
      <c r="A91" s="45"/>
      <c r="B91" s="55">
        <v>46058.0</v>
      </c>
      <c r="C91" s="33" t="s">
        <v>65</v>
      </c>
      <c r="D91" s="34"/>
      <c r="E91" s="33" t="s">
        <v>377</v>
      </c>
      <c r="F91" s="34"/>
      <c r="G91" s="35" t="s">
        <v>22</v>
      </c>
      <c r="H91" s="33" t="s">
        <v>180</v>
      </c>
      <c r="I91" s="33" t="s">
        <v>148</v>
      </c>
      <c r="J91" s="33" t="s">
        <v>36</v>
      </c>
      <c r="K91" s="106">
        <v>46060.0</v>
      </c>
      <c r="L91" s="33" t="s">
        <v>33</v>
      </c>
    </row>
    <row r="92">
      <c r="A92" s="45"/>
      <c r="B92" s="55">
        <v>46058.0</v>
      </c>
      <c r="C92" s="33" t="s">
        <v>40</v>
      </c>
      <c r="D92" s="34"/>
      <c r="E92" s="33" t="s">
        <v>378</v>
      </c>
      <c r="F92" s="34"/>
      <c r="G92" s="35" t="s">
        <v>22</v>
      </c>
      <c r="H92" s="33" t="s">
        <v>180</v>
      </c>
      <c r="I92" s="33" t="s">
        <v>148</v>
      </c>
      <c r="J92" s="33" t="s">
        <v>36</v>
      </c>
      <c r="K92" s="106">
        <v>46058.0</v>
      </c>
      <c r="L92" s="33" t="s">
        <v>36</v>
      </c>
    </row>
    <row r="93">
      <c r="A93" s="15"/>
      <c r="B93" s="108">
        <v>46059.0</v>
      </c>
      <c r="C93" s="65" t="s">
        <v>140</v>
      </c>
      <c r="D93" s="66"/>
      <c r="E93" s="65" t="s">
        <v>379</v>
      </c>
      <c r="F93" s="66"/>
      <c r="G93" s="67" t="s">
        <v>22</v>
      </c>
      <c r="H93" s="65" t="s">
        <v>88</v>
      </c>
      <c r="I93" s="65" t="s">
        <v>356</v>
      </c>
      <c r="J93" s="65" t="s">
        <v>25</v>
      </c>
      <c r="K93" s="109">
        <v>46059.0</v>
      </c>
      <c r="L93" s="65" t="s">
        <v>25</v>
      </c>
    </row>
    <row r="94">
      <c r="A94" s="45"/>
      <c r="B94" s="55">
        <v>46059.0</v>
      </c>
      <c r="C94" s="33" t="s">
        <v>201</v>
      </c>
      <c r="D94" s="34"/>
      <c r="E94" s="33" t="s">
        <v>380</v>
      </c>
      <c r="F94" s="35" t="s">
        <v>270</v>
      </c>
      <c r="G94" s="35" t="s">
        <v>22</v>
      </c>
      <c r="H94" s="33" t="s">
        <v>199</v>
      </c>
      <c r="I94" s="33" t="s">
        <v>381</v>
      </c>
      <c r="J94" s="33" t="s">
        <v>25</v>
      </c>
      <c r="K94" s="106">
        <v>46060.0</v>
      </c>
      <c r="L94" s="33" t="s">
        <v>33</v>
      </c>
    </row>
    <row r="95">
      <c r="A95" s="45"/>
      <c r="B95" s="55">
        <v>46059.0</v>
      </c>
      <c r="C95" s="33" t="s">
        <v>44</v>
      </c>
      <c r="D95" s="34"/>
      <c r="E95" s="33" t="s">
        <v>382</v>
      </c>
      <c r="F95" s="34"/>
      <c r="G95" s="35" t="s">
        <v>22</v>
      </c>
      <c r="H95" s="33" t="s">
        <v>63</v>
      </c>
      <c r="I95" s="33" t="s">
        <v>383</v>
      </c>
      <c r="J95" s="33" t="s">
        <v>25</v>
      </c>
      <c r="K95" s="106">
        <v>46060.0</v>
      </c>
      <c r="L95" s="33" t="s">
        <v>33</v>
      </c>
    </row>
    <row r="96">
      <c r="A96" s="45"/>
      <c r="B96" s="55">
        <v>46060.0</v>
      </c>
      <c r="C96" s="33" t="s">
        <v>352</v>
      </c>
      <c r="D96" s="34"/>
      <c r="E96" s="33" t="s">
        <v>29</v>
      </c>
      <c r="F96" s="34"/>
      <c r="G96" s="35" t="s">
        <v>22</v>
      </c>
      <c r="H96" s="33" t="s">
        <v>199</v>
      </c>
      <c r="I96" s="33" t="s">
        <v>384</v>
      </c>
      <c r="J96" s="33" t="s">
        <v>33</v>
      </c>
      <c r="K96" s="106">
        <v>46062.0</v>
      </c>
      <c r="L96" s="33" t="s">
        <v>95</v>
      </c>
    </row>
    <row r="97">
      <c r="A97" s="45"/>
      <c r="B97" s="55">
        <v>46060.0</v>
      </c>
      <c r="C97" s="33" t="s">
        <v>149</v>
      </c>
      <c r="D97" s="34"/>
      <c r="E97" s="33" t="s">
        <v>385</v>
      </c>
      <c r="F97" s="34"/>
      <c r="G97" s="35" t="s">
        <v>22</v>
      </c>
      <c r="H97" s="33" t="s">
        <v>106</v>
      </c>
      <c r="I97" s="33" t="s">
        <v>386</v>
      </c>
      <c r="J97" s="33" t="s">
        <v>33</v>
      </c>
      <c r="K97" s="106">
        <v>46060.0</v>
      </c>
      <c r="L97" s="33" t="s">
        <v>33</v>
      </c>
    </row>
    <row r="98">
      <c r="A98" s="45"/>
      <c r="B98" s="55">
        <v>46060.0</v>
      </c>
      <c r="C98" s="33" t="s">
        <v>387</v>
      </c>
      <c r="D98" s="34"/>
      <c r="E98" s="33" t="s">
        <v>388</v>
      </c>
      <c r="F98" s="34"/>
      <c r="G98" s="35" t="s">
        <v>389</v>
      </c>
      <c r="H98" s="33" t="s">
        <v>50</v>
      </c>
      <c r="I98" s="33" t="s">
        <v>390</v>
      </c>
      <c r="J98" s="33" t="s">
        <v>33</v>
      </c>
      <c r="K98" s="56">
        <v>46067.0</v>
      </c>
      <c r="L98" s="33" t="s">
        <v>36</v>
      </c>
    </row>
    <row r="99">
      <c r="A99" s="110"/>
      <c r="B99" s="111">
        <v>46062.0</v>
      </c>
      <c r="C99" s="112" t="s">
        <v>391</v>
      </c>
      <c r="D99" s="113" t="s">
        <v>392</v>
      </c>
      <c r="E99" s="112" t="s">
        <v>393</v>
      </c>
      <c r="F99" s="114"/>
      <c r="G99" s="113" t="s">
        <v>27</v>
      </c>
      <c r="H99" s="112" t="s">
        <v>209</v>
      </c>
      <c r="I99" s="112" t="s">
        <v>394</v>
      </c>
      <c r="J99" s="112" t="s">
        <v>95</v>
      </c>
      <c r="K99" s="115">
        <v>46067.0</v>
      </c>
      <c r="L99" s="112" t="s">
        <v>36</v>
      </c>
    </row>
    <row r="100">
      <c r="A100" s="45"/>
      <c r="B100" s="55">
        <v>46062.0</v>
      </c>
      <c r="C100" s="33" t="s">
        <v>206</v>
      </c>
      <c r="D100" s="34"/>
      <c r="E100" s="33" t="s">
        <v>395</v>
      </c>
      <c r="F100" s="34"/>
      <c r="G100" s="35" t="s">
        <v>22</v>
      </c>
      <c r="H100" s="33" t="s">
        <v>31</v>
      </c>
      <c r="I100" s="33" t="s">
        <v>396</v>
      </c>
      <c r="J100" s="33" t="s">
        <v>95</v>
      </c>
      <c r="K100" s="56">
        <v>46066.0</v>
      </c>
      <c r="L100" s="33" t="s">
        <v>25</v>
      </c>
    </row>
    <row r="101">
      <c r="A101" s="45"/>
      <c r="B101" s="55">
        <v>46062.0</v>
      </c>
      <c r="C101" s="33" t="s">
        <v>206</v>
      </c>
      <c r="D101" s="34"/>
      <c r="E101" s="33" t="s">
        <v>397</v>
      </c>
      <c r="F101" s="34"/>
      <c r="G101" s="35" t="s">
        <v>22</v>
      </c>
      <c r="H101" s="33" t="s">
        <v>398</v>
      </c>
      <c r="I101" s="33" t="s">
        <v>399</v>
      </c>
      <c r="J101" s="33" t="s">
        <v>95</v>
      </c>
      <c r="K101" s="56">
        <v>46063.0</v>
      </c>
      <c r="L101" s="33" t="s">
        <v>400</v>
      </c>
    </row>
    <row r="102">
      <c r="A102" s="45"/>
      <c r="B102" s="55">
        <v>46062.0</v>
      </c>
      <c r="C102" s="33" t="s">
        <v>206</v>
      </c>
      <c r="D102" s="34"/>
      <c r="E102" s="33" t="s">
        <v>401</v>
      </c>
      <c r="F102" s="34"/>
      <c r="G102" s="35" t="s">
        <v>22</v>
      </c>
      <c r="H102" s="33" t="s">
        <v>156</v>
      </c>
      <c r="I102" s="33" t="s">
        <v>94</v>
      </c>
      <c r="J102" s="33" t="s">
        <v>138</v>
      </c>
      <c r="K102" s="106">
        <v>46062.0</v>
      </c>
      <c r="L102" s="33" t="s">
        <v>95</v>
      </c>
    </row>
    <row r="103">
      <c r="A103" s="15"/>
      <c r="B103" s="108">
        <v>46062.0</v>
      </c>
      <c r="C103" s="65" t="s">
        <v>206</v>
      </c>
      <c r="D103" s="66"/>
      <c r="E103" s="65" t="s">
        <v>402</v>
      </c>
      <c r="F103" s="67" t="s">
        <v>403</v>
      </c>
      <c r="G103" s="67" t="s">
        <v>22</v>
      </c>
      <c r="H103" s="65" t="s">
        <v>156</v>
      </c>
      <c r="I103" s="65" t="s">
        <v>69</v>
      </c>
      <c r="J103" s="65" t="s">
        <v>95</v>
      </c>
      <c r="K103" s="68">
        <v>46066.0</v>
      </c>
      <c r="L103" s="65" t="s">
        <v>25</v>
      </c>
    </row>
    <row r="104">
      <c r="A104" s="45"/>
      <c r="B104" s="55">
        <v>46062.0</v>
      </c>
      <c r="C104" s="33" t="s">
        <v>206</v>
      </c>
      <c r="D104" s="34"/>
      <c r="E104" s="33" t="s">
        <v>404</v>
      </c>
      <c r="F104" s="35" t="s">
        <v>405</v>
      </c>
      <c r="G104" s="35" t="s">
        <v>22</v>
      </c>
      <c r="H104" s="33" t="s">
        <v>156</v>
      </c>
      <c r="I104" s="33" t="s">
        <v>69</v>
      </c>
      <c r="J104" s="33" t="s">
        <v>95</v>
      </c>
      <c r="K104" s="56">
        <v>46063.0</v>
      </c>
      <c r="L104" s="33" t="s">
        <v>33</v>
      </c>
    </row>
    <row r="105">
      <c r="A105" s="45"/>
      <c r="B105" s="55">
        <v>46062.0</v>
      </c>
      <c r="C105" s="33" t="s">
        <v>206</v>
      </c>
      <c r="D105" s="34"/>
      <c r="E105" s="33" t="s">
        <v>25</v>
      </c>
      <c r="F105" s="34"/>
      <c r="G105" s="35" t="s">
        <v>22</v>
      </c>
      <c r="H105" s="33" t="s">
        <v>332</v>
      </c>
      <c r="I105" s="33" t="s">
        <v>406</v>
      </c>
      <c r="J105" s="33" t="s">
        <v>95</v>
      </c>
      <c r="K105" s="33" t="s">
        <v>407</v>
      </c>
      <c r="L105" s="45"/>
    </row>
    <row r="106">
      <c r="A106" s="45"/>
      <c r="B106" s="55">
        <v>46062.0</v>
      </c>
      <c r="C106" s="33" t="s">
        <v>146</v>
      </c>
      <c r="D106" s="34"/>
      <c r="E106" s="33" t="s">
        <v>339</v>
      </c>
      <c r="F106" s="34"/>
      <c r="G106" s="35" t="s">
        <v>22</v>
      </c>
      <c r="H106" s="33" t="s">
        <v>319</v>
      </c>
      <c r="I106" s="33" t="s">
        <v>408</v>
      </c>
      <c r="J106" s="33" t="s">
        <v>95</v>
      </c>
      <c r="K106" s="56">
        <v>46063.0</v>
      </c>
      <c r="L106" s="33" t="s">
        <v>33</v>
      </c>
    </row>
    <row r="107">
      <c r="A107" s="45"/>
      <c r="B107" s="76">
        <v>46063.0</v>
      </c>
      <c r="C107" s="33" t="s">
        <v>40</v>
      </c>
      <c r="D107" s="34"/>
      <c r="E107" s="33" t="s">
        <v>409</v>
      </c>
      <c r="F107" s="34"/>
      <c r="G107" s="35" t="s">
        <v>22</v>
      </c>
      <c r="H107" s="33" t="s">
        <v>46</v>
      </c>
      <c r="I107" s="33" t="s">
        <v>410</v>
      </c>
      <c r="J107" s="33" t="s">
        <v>33</v>
      </c>
      <c r="K107" s="56">
        <v>46063.0</v>
      </c>
      <c r="L107" s="33" t="s">
        <v>33</v>
      </c>
    </row>
    <row r="108">
      <c r="A108" s="45"/>
      <c r="B108" s="76">
        <v>46064.0</v>
      </c>
      <c r="C108" s="33" t="s">
        <v>44</v>
      </c>
      <c r="D108" s="34"/>
      <c r="E108" s="33" t="s">
        <v>348</v>
      </c>
      <c r="F108" s="34"/>
      <c r="G108" s="35" t="s">
        <v>22</v>
      </c>
      <c r="H108" s="33" t="s">
        <v>73</v>
      </c>
      <c r="I108" s="33" t="s">
        <v>203</v>
      </c>
      <c r="J108" s="33" t="s">
        <v>411</v>
      </c>
      <c r="K108" s="56">
        <v>46066.0</v>
      </c>
      <c r="L108" s="33" t="s">
        <v>48</v>
      </c>
    </row>
    <row r="109">
      <c r="A109" s="45"/>
      <c r="B109" s="76">
        <v>46064.0</v>
      </c>
      <c r="C109" s="33" t="s">
        <v>412</v>
      </c>
      <c r="D109" s="34"/>
      <c r="E109" s="33" t="s">
        <v>29</v>
      </c>
      <c r="F109" s="34"/>
      <c r="G109" s="35" t="s">
        <v>22</v>
      </c>
      <c r="H109" s="33" t="s">
        <v>199</v>
      </c>
      <c r="I109" s="33" t="s">
        <v>203</v>
      </c>
      <c r="J109" s="33" t="s">
        <v>366</v>
      </c>
      <c r="K109" s="56">
        <v>46064.0</v>
      </c>
      <c r="L109" s="33" t="s">
        <v>413</v>
      </c>
    </row>
    <row r="110">
      <c r="A110" s="45"/>
      <c r="B110" s="76">
        <v>46065.0</v>
      </c>
      <c r="C110" s="33" t="s">
        <v>75</v>
      </c>
      <c r="D110" s="34"/>
      <c r="E110" s="33" t="s">
        <v>414</v>
      </c>
      <c r="F110" s="35" t="s">
        <v>415</v>
      </c>
      <c r="G110" s="35" t="s">
        <v>22</v>
      </c>
      <c r="H110" s="33" t="s">
        <v>199</v>
      </c>
      <c r="I110" s="33" t="s">
        <v>416</v>
      </c>
      <c r="J110" s="33" t="s">
        <v>36</v>
      </c>
      <c r="K110" s="57">
        <v>46069.0</v>
      </c>
      <c r="L110" s="33" t="s">
        <v>95</v>
      </c>
    </row>
    <row r="111">
      <c r="A111" s="45"/>
      <c r="B111" s="76">
        <v>46065.0</v>
      </c>
      <c r="C111" s="33" t="s">
        <v>75</v>
      </c>
      <c r="D111" s="34"/>
      <c r="E111" s="33" t="s">
        <v>179</v>
      </c>
      <c r="F111" s="35" t="s">
        <v>417</v>
      </c>
      <c r="G111" s="35" t="s">
        <v>22</v>
      </c>
      <c r="H111" s="33" t="s">
        <v>199</v>
      </c>
      <c r="I111" s="33" t="s">
        <v>181</v>
      </c>
      <c r="J111" s="33" t="s">
        <v>36</v>
      </c>
      <c r="K111" s="56">
        <v>46065.0</v>
      </c>
      <c r="L111" s="33" t="s">
        <v>418</v>
      </c>
    </row>
    <row r="112">
      <c r="A112" s="45"/>
      <c r="B112" s="76">
        <v>46065.0</v>
      </c>
      <c r="C112" s="33" t="s">
        <v>75</v>
      </c>
      <c r="D112" s="34"/>
      <c r="E112" s="33" t="s">
        <v>419</v>
      </c>
      <c r="F112" s="35" t="s">
        <v>420</v>
      </c>
      <c r="G112" s="35" t="s">
        <v>22</v>
      </c>
      <c r="H112" s="33" t="s">
        <v>199</v>
      </c>
      <c r="I112" s="33" t="s">
        <v>416</v>
      </c>
      <c r="J112" s="33" t="s">
        <v>36</v>
      </c>
      <c r="K112" s="56">
        <v>46066.0</v>
      </c>
      <c r="L112" s="33" t="s">
        <v>25</v>
      </c>
    </row>
    <row r="113">
      <c r="A113" s="45"/>
      <c r="B113" s="76">
        <v>46065.0</v>
      </c>
      <c r="C113" s="33" t="s">
        <v>65</v>
      </c>
      <c r="D113" s="34"/>
      <c r="E113" s="33" t="s">
        <v>421</v>
      </c>
      <c r="F113" s="34"/>
      <c r="G113" s="35" t="s">
        <v>22</v>
      </c>
      <c r="H113" s="33" t="s">
        <v>422</v>
      </c>
      <c r="I113" s="33" t="s">
        <v>423</v>
      </c>
      <c r="J113" s="33" t="s">
        <v>36</v>
      </c>
      <c r="K113" s="57">
        <v>46070.0</v>
      </c>
      <c r="L113" s="33" t="s">
        <v>33</v>
      </c>
    </row>
    <row r="114">
      <c r="A114" s="45"/>
      <c r="B114" s="76">
        <v>46065.0</v>
      </c>
      <c r="C114" s="33" t="s">
        <v>75</v>
      </c>
      <c r="D114" s="34"/>
      <c r="E114" s="33" t="s">
        <v>424</v>
      </c>
      <c r="F114" s="34"/>
      <c r="G114" s="35" t="s">
        <v>55</v>
      </c>
      <c r="H114" s="33" t="s">
        <v>88</v>
      </c>
      <c r="I114" s="33" t="s">
        <v>425</v>
      </c>
      <c r="J114" s="33" t="s">
        <v>36</v>
      </c>
      <c r="K114" s="56">
        <v>46093.0</v>
      </c>
      <c r="L114" s="33" t="s">
        <v>36</v>
      </c>
    </row>
    <row r="115">
      <c r="A115" s="45"/>
      <c r="B115" s="76">
        <v>46066.0</v>
      </c>
      <c r="C115" s="33" t="s">
        <v>426</v>
      </c>
      <c r="D115" s="34"/>
      <c r="E115" s="33" t="s">
        <v>427</v>
      </c>
      <c r="F115" s="34"/>
      <c r="G115" s="35" t="s">
        <v>85</v>
      </c>
      <c r="H115" s="33" t="s">
        <v>46</v>
      </c>
      <c r="I115" s="33" t="s">
        <v>428</v>
      </c>
      <c r="J115" s="33" t="s">
        <v>25</v>
      </c>
      <c r="K115" s="56">
        <v>46066.0</v>
      </c>
      <c r="L115" s="33" t="s">
        <v>25</v>
      </c>
    </row>
    <row r="116">
      <c r="A116" s="45"/>
      <c r="B116" s="76">
        <v>46066.0</v>
      </c>
      <c r="C116" s="33" t="s">
        <v>426</v>
      </c>
      <c r="D116" s="34"/>
      <c r="E116" s="33" t="s">
        <v>429</v>
      </c>
      <c r="F116" s="34"/>
      <c r="G116" s="35" t="s">
        <v>85</v>
      </c>
      <c r="H116" s="33" t="s">
        <v>46</v>
      </c>
      <c r="I116" s="33" t="s">
        <v>428</v>
      </c>
      <c r="J116" s="33" t="s">
        <v>25</v>
      </c>
      <c r="K116" s="56">
        <v>46067.0</v>
      </c>
      <c r="L116" s="33" t="s">
        <v>36</v>
      </c>
    </row>
    <row r="117">
      <c r="A117" s="45"/>
      <c r="B117" s="76">
        <v>46066.0</v>
      </c>
      <c r="C117" s="33" t="s">
        <v>426</v>
      </c>
      <c r="D117" s="34"/>
      <c r="E117" s="33" t="s">
        <v>430</v>
      </c>
      <c r="F117" s="34"/>
      <c r="G117" s="35" t="s">
        <v>85</v>
      </c>
      <c r="H117" s="33" t="s">
        <v>46</v>
      </c>
      <c r="I117" s="33" t="s">
        <v>428</v>
      </c>
      <c r="J117" s="33" t="s">
        <v>25</v>
      </c>
      <c r="K117" s="56">
        <v>46066.0</v>
      </c>
      <c r="L117" s="33" t="s">
        <v>25</v>
      </c>
    </row>
    <row r="118">
      <c r="A118" s="45"/>
      <c r="B118" s="76">
        <v>46066.0</v>
      </c>
      <c r="C118" s="33" t="s">
        <v>426</v>
      </c>
      <c r="D118" s="34"/>
      <c r="E118" s="33" t="s">
        <v>431</v>
      </c>
      <c r="F118" s="34"/>
      <c r="G118" s="35" t="s">
        <v>85</v>
      </c>
      <c r="H118" s="33" t="s">
        <v>199</v>
      </c>
      <c r="I118" s="33" t="s">
        <v>428</v>
      </c>
      <c r="J118" s="33" t="s">
        <v>25</v>
      </c>
      <c r="K118" s="56">
        <v>46066.0</v>
      </c>
      <c r="L118" s="33" t="s">
        <v>25</v>
      </c>
    </row>
    <row r="119">
      <c r="A119" s="45"/>
      <c r="B119" s="76">
        <v>46066.0</v>
      </c>
      <c r="C119" s="33" t="s">
        <v>426</v>
      </c>
      <c r="D119" s="34"/>
      <c r="E119" s="33" t="s">
        <v>432</v>
      </c>
      <c r="F119" s="34"/>
      <c r="G119" s="35" t="s">
        <v>85</v>
      </c>
      <c r="H119" s="45"/>
      <c r="I119" s="33" t="s">
        <v>428</v>
      </c>
      <c r="J119" s="33" t="s">
        <v>25</v>
      </c>
      <c r="K119" s="33">
        <v>13.0</v>
      </c>
      <c r="L119" s="33" t="s">
        <v>25</v>
      </c>
    </row>
    <row r="120">
      <c r="A120" s="45"/>
      <c r="B120" s="76">
        <v>46066.0</v>
      </c>
      <c r="C120" s="33" t="s">
        <v>426</v>
      </c>
      <c r="D120" s="34"/>
      <c r="E120" s="33" t="s">
        <v>433</v>
      </c>
      <c r="F120" s="34"/>
      <c r="G120" s="35" t="s">
        <v>85</v>
      </c>
      <c r="H120" s="33" t="s">
        <v>434</v>
      </c>
      <c r="I120" s="33" t="s">
        <v>428</v>
      </c>
      <c r="J120" s="33" t="s">
        <v>25</v>
      </c>
      <c r="K120" s="33">
        <v>13.0</v>
      </c>
      <c r="L120" s="33" t="s">
        <v>25</v>
      </c>
    </row>
    <row r="121">
      <c r="A121" s="45"/>
      <c r="B121" s="76">
        <v>46066.0</v>
      </c>
      <c r="C121" s="33" t="s">
        <v>426</v>
      </c>
      <c r="D121" s="34"/>
      <c r="E121" s="33" t="s">
        <v>435</v>
      </c>
      <c r="F121" s="34"/>
      <c r="G121" s="35" t="s">
        <v>85</v>
      </c>
      <c r="H121" s="33" t="s">
        <v>434</v>
      </c>
      <c r="I121" s="33" t="s">
        <v>428</v>
      </c>
      <c r="J121" s="33" t="s">
        <v>25</v>
      </c>
      <c r="K121" s="33">
        <v>13.0</v>
      </c>
      <c r="L121" s="33" t="s">
        <v>25</v>
      </c>
    </row>
    <row r="122">
      <c r="A122" s="45"/>
      <c r="B122" s="76">
        <v>46066.0</v>
      </c>
      <c r="C122" s="33" t="s">
        <v>426</v>
      </c>
      <c r="D122" s="34"/>
      <c r="E122" s="33" t="s">
        <v>436</v>
      </c>
      <c r="F122" s="34"/>
      <c r="G122" s="35" t="s">
        <v>85</v>
      </c>
      <c r="H122" s="33" t="s">
        <v>434</v>
      </c>
      <c r="I122" s="33" t="s">
        <v>428</v>
      </c>
      <c r="J122" s="33" t="s">
        <v>25</v>
      </c>
      <c r="K122" s="56">
        <v>46066.0</v>
      </c>
      <c r="L122" s="33" t="s">
        <v>25</v>
      </c>
    </row>
    <row r="123">
      <c r="A123" s="45"/>
      <c r="B123" s="76">
        <v>46066.0</v>
      </c>
      <c r="C123" s="33" t="s">
        <v>426</v>
      </c>
      <c r="D123" s="34"/>
      <c r="E123" s="33" t="s">
        <v>437</v>
      </c>
      <c r="F123" s="34"/>
      <c r="G123" s="35" t="s">
        <v>85</v>
      </c>
      <c r="H123" s="45"/>
      <c r="I123" s="45"/>
      <c r="J123" s="33" t="s">
        <v>25</v>
      </c>
      <c r="K123" s="33">
        <v>13.0</v>
      </c>
      <c r="L123" s="33" t="s">
        <v>25</v>
      </c>
    </row>
    <row r="124">
      <c r="A124" s="45"/>
      <c r="B124" s="76">
        <v>46066.0</v>
      </c>
      <c r="C124" s="33" t="s">
        <v>226</v>
      </c>
      <c r="D124" s="35"/>
      <c r="E124" s="33" t="s">
        <v>438</v>
      </c>
      <c r="F124" s="35" t="s">
        <v>439</v>
      </c>
      <c r="G124" s="35" t="s">
        <v>22</v>
      </c>
      <c r="H124" s="33" t="s">
        <v>53</v>
      </c>
      <c r="I124" s="33" t="s">
        <v>440</v>
      </c>
      <c r="J124" s="33" t="s">
        <v>25</v>
      </c>
      <c r="K124" s="33">
        <v>13.0</v>
      </c>
      <c r="L124" s="33" t="s">
        <v>25</v>
      </c>
    </row>
    <row r="125">
      <c r="A125" s="45"/>
      <c r="B125" s="76">
        <v>46067.0</v>
      </c>
      <c r="C125" s="33" t="s">
        <v>441</v>
      </c>
      <c r="D125" s="34"/>
      <c r="E125" s="33" t="s">
        <v>29</v>
      </c>
      <c r="F125" s="34"/>
      <c r="G125" s="35" t="s">
        <v>22</v>
      </c>
      <c r="H125" s="33" t="s">
        <v>68</v>
      </c>
      <c r="I125" s="33" t="s">
        <v>442</v>
      </c>
      <c r="J125" s="33" t="s">
        <v>36</v>
      </c>
      <c r="K125" s="56">
        <v>46067.0</v>
      </c>
      <c r="L125" s="33" t="s">
        <v>36</v>
      </c>
    </row>
    <row r="126">
      <c r="A126" s="45"/>
      <c r="B126" s="76">
        <v>46067.0</v>
      </c>
      <c r="C126" s="33" t="s">
        <v>29</v>
      </c>
      <c r="D126" s="34"/>
      <c r="E126" s="33" t="s">
        <v>352</v>
      </c>
      <c r="F126" s="34"/>
      <c r="G126" s="35" t="s">
        <v>22</v>
      </c>
      <c r="H126" s="33" t="s">
        <v>443</v>
      </c>
      <c r="I126" s="33" t="s">
        <v>444</v>
      </c>
      <c r="J126" s="33" t="s">
        <v>36</v>
      </c>
      <c r="K126" s="57">
        <v>46071.0</v>
      </c>
      <c r="L126" s="33" t="s">
        <v>95</v>
      </c>
    </row>
    <row r="127">
      <c r="A127" s="45"/>
      <c r="B127" s="76">
        <v>46069.0</v>
      </c>
      <c r="C127" s="33" t="s">
        <v>146</v>
      </c>
      <c r="D127" s="34"/>
      <c r="E127" s="33" t="s">
        <v>445</v>
      </c>
      <c r="F127" s="34"/>
      <c r="G127" s="35" t="s">
        <v>22</v>
      </c>
      <c r="H127" s="33" t="s">
        <v>156</v>
      </c>
      <c r="I127" s="33" t="s">
        <v>86</v>
      </c>
      <c r="J127" s="33" t="s">
        <v>138</v>
      </c>
      <c r="K127" s="57">
        <v>46069.0</v>
      </c>
      <c r="L127" s="33" t="s">
        <v>95</v>
      </c>
    </row>
    <row r="128">
      <c r="B128" s="76">
        <v>46069.0</v>
      </c>
      <c r="C128" s="33" t="s">
        <v>197</v>
      </c>
      <c r="D128" s="34"/>
      <c r="E128" s="33" t="s">
        <v>446</v>
      </c>
      <c r="F128" s="34"/>
      <c r="G128" s="35" t="s">
        <v>22</v>
      </c>
      <c r="H128" s="33" t="s">
        <v>156</v>
      </c>
      <c r="I128" s="33" t="s">
        <v>447</v>
      </c>
      <c r="J128" s="33" t="s">
        <v>95</v>
      </c>
      <c r="K128" s="56">
        <v>46093.0</v>
      </c>
      <c r="L128" s="33" t="s">
        <v>36</v>
      </c>
    </row>
    <row r="129">
      <c r="A129" s="45"/>
      <c r="B129" s="76">
        <v>46070.0</v>
      </c>
      <c r="C129" s="33" t="s">
        <v>29</v>
      </c>
      <c r="D129" s="34"/>
      <c r="E129" s="33" t="s">
        <v>448</v>
      </c>
      <c r="F129" s="34"/>
      <c r="G129" s="35" t="s">
        <v>22</v>
      </c>
      <c r="H129" s="33" t="s">
        <v>183</v>
      </c>
      <c r="I129" s="33" t="s">
        <v>449</v>
      </c>
      <c r="J129" s="33" t="s">
        <v>33</v>
      </c>
      <c r="K129" s="57">
        <v>46070.0</v>
      </c>
      <c r="L129" s="33" t="s">
        <v>33</v>
      </c>
    </row>
    <row r="130">
      <c r="A130" s="45"/>
      <c r="B130" s="76">
        <v>46070.0</v>
      </c>
      <c r="C130" s="33" t="s">
        <v>40</v>
      </c>
      <c r="D130" s="34"/>
      <c r="E130" s="33" t="s">
        <v>450</v>
      </c>
      <c r="F130" s="34"/>
      <c r="G130" s="35" t="s">
        <v>55</v>
      </c>
      <c r="H130" s="33" t="s">
        <v>106</v>
      </c>
      <c r="I130" s="33" t="s">
        <v>451</v>
      </c>
      <c r="J130" s="33" t="s">
        <v>33</v>
      </c>
      <c r="K130" s="57">
        <v>46070.0</v>
      </c>
      <c r="L130" s="33" t="s">
        <v>33</v>
      </c>
    </row>
    <row r="131">
      <c r="A131" s="110"/>
      <c r="B131" s="116">
        <v>46070.0</v>
      </c>
      <c r="C131" s="112" t="s">
        <v>452</v>
      </c>
      <c r="D131" s="114"/>
      <c r="E131" s="112" t="s">
        <v>453</v>
      </c>
      <c r="F131" s="113" t="s">
        <v>454</v>
      </c>
      <c r="G131" s="113" t="s">
        <v>22</v>
      </c>
      <c r="H131" s="112" t="s">
        <v>68</v>
      </c>
      <c r="I131" s="112" t="s">
        <v>455</v>
      </c>
      <c r="J131" s="112" t="s">
        <v>33</v>
      </c>
      <c r="K131" s="117">
        <v>46072.0</v>
      </c>
      <c r="L131" s="112" t="s">
        <v>206</v>
      </c>
    </row>
    <row r="132">
      <c r="A132" s="45"/>
      <c r="B132" s="76">
        <v>46070.0</v>
      </c>
      <c r="C132" s="33" t="s">
        <v>75</v>
      </c>
      <c r="D132" s="34"/>
      <c r="E132" s="33" t="s">
        <v>456</v>
      </c>
      <c r="F132" s="34"/>
      <c r="G132" s="35" t="s">
        <v>457</v>
      </c>
      <c r="H132" s="33" t="s">
        <v>183</v>
      </c>
      <c r="I132" s="33" t="s">
        <v>286</v>
      </c>
      <c r="J132" s="33" t="s">
        <v>400</v>
      </c>
      <c r="K132" s="57">
        <v>46073.0</v>
      </c>
      <c r="L132" s="33" t="s">
        <v>33</v>
      </c>
    </row>
    <row r="133">
      <c r="A133" s="45"/>
      <c r="B133" s="76">
        <v>46070.0</v>
      </c>
      <c r="C133" s="33" t="s">
        <v>75</v>
      </c>
      <c r="D133" s="34"/>
      <c r="E133" s="33" t="s">
        <v>458</v>
      </c>
      <c r="F133" s="34"/>
      <c r="G133" s="35" t="s">
        <v>55</v>
      </c>
      <c r="H133" s="33" t="s">
        <v>183</v>
      </c>
      <c r="I133" s="33" t="s">
        <v>459</v>
      </c>
      <c r="J133" s="33" t="s">
        <v>33</v>
      </c>
      <c r="K133" s="57">
        <v>46071.0</v>
      </c>
      <c r="L133" s="33" t="s">
        <v>95</v>
      </c>
    </row>
    <row r="134">
      <c r="A134" s="45"/>
      <c r="B134" s="76">
        <v>46071.0</v>
      </c>
      <c r="C134" s="33" t="s">
        <v>460</v>
      </c>
      <c r="D134" s="34"/>
      <c r="E134" s="33" t="s">
        <v>44</v>
      </c>
      <c r="F134" s="34"/>
      <c r="G134" s="35" t="s">
        <v>22</v>
      </c>
      <c r="H134" s="33" t="s">
        <v>156</v>
      </c>
      <c r="I134" s="33" t="s">
        <v>69</v>
      </c>
      <c r="J134" s="33" t="s">
        <v>138</v>
      </c>
      <c r="K134" s="57">
        <v>46073.0</v>
      </c>
      <c r="L134" s="33" t="s">
        <v>33</v>
      </c>
    </row>
    <row r="135">
      <c r="A135" s="110"/>
      <c r="B135" s="116">
        <v>46072.0</v>
      </c>
      <c r="C135" s="112" t="s">
        <v>75</v>
      </c>
      <c r="D135" s="114"/>
      <c r="E135" s="112" t="s">
        <v>461</v>
      </c>
      <c r="F135" s="114"/>
      <c r="G135" s="113" t="s">
        <v>22</v>
      </c>
      <c r="H135" s="112" t="s">
        <v>46</v>
      </c>
      <c r="I135" s="112" t="s">
        <v>148</v>
      </c>
      <c r="J135" s="112" t="s">
        <v>36</v>
      </c>
      <c r="K135" s="117">
        <v>46072.0</v>
      </c>
      <c r="L135" s="110"/>
    </row>
    <row r="136">
      <c r="A136" s="118"/>
      <c r="B136" s="119">
        <v>46073.0</v>
      </c>
      <c r="C136" s="120" t="s">
        <v>40</v>
      </c>
      <c r="D136" s="121"/>
      <c r="E136" s="120" t="s">
        <v>462</v>
      </c>
      <c r="F136" s="122" t="s">
        <v>463</v>
      </c>
      <c r="G136" s="122" t="s">
        <v>22</v>
      </c>
      <c r="H136" s="120" t="s">
        <v>183</v>
      </c>
      <c r="I136" s="120" t="s">
        <v>464</v>
      </c>
      <c r="J136" s="120" t="s">
        <v>33</v>
      </c>
      <c r="K136" s="123">
        <v>46074.0</v>
      </c>
      <c r="L136" s="120" t="s">
        <v>366</v>
      </c>
    </row>
    <row r="137">
      <c r="A137" s="58"/>
      <c r="B137" s="77">
        <v>46073.0</v>
      </c>
      <c r="C137" s="60" t="s">
        <v>465</v>
      </c>
      <c r="D137" s="61"/>
      <c r="E137" s="60" t="s">
        <v>466</v>
      </c>
      <c r="F137" s="61"/>
      <c r="G137" s="62" t="s">
        <v>22</v>
      </c>
      <c r="H137" s="60" t="s">
        <v>353</v>
      </c>
      <c r="I137" s="60" t="s">
        <v>467</v>
      </c>
      <c r="J137" s="60" t="s">
        <v>33</v>
      </c>
      <c r="K137" s="58"/>
      <c r="L137" s="58"/>
    </row>
    <row r="138">
      <c r="A138" s="45"/>
      <c r="B138" s="76">
        <v>46074.0</v>
      </c>
      <c r="C138" s="33" t="s">
        <v>149</v>
      </c>
      <c r="D138" s="34"/>
      <c r="E138" s="33" t="s">
        <v>468</v>
      </c>
      <c r="F138" s="34"/>
      <c r="G138" s="35" t="s">
        <v>22</v>
      </c>
      <c r="H138" s="33" t="s">
        <v>46</v>
      </c>
      <c r="I138" s="33" t="s">
        <v>469</v>
      </c>
      <c r="J138" s="33" t="s">
        <v>411</v>
      </c>
      <c r="K138" s="57">
        <v>46076.0</v>
      </c>
      <c r="L138" s="33" t="s">
        <v>95</v>
      </c>
    </row>
    <row r="139">
      <c r="A139" s="15"/>
      <c r="B139" s="103">
        <v>46074.0</v>
      </c>
      <c r="C139" s="65" t="s">
        <v>75</v>
      </c>
      <c r="D139" s="66"/>
      <c r="E139" s="65" t="s">
        <v>470</v>
      </c>
      <c r="F139" s="66"/>
      <c r="G139" s="67" t="s">
        <v>22</v>
      </c>
      <c r="H139" s="65" t="s">
        <v>109</v>
      </c>
      <c r="I139" s="65" t="s">
        <v>471</v>
      </c>
      <c r="J139" s="65" t="s">
        <v>411</v>
      </c>
      <c r="K139" s="124">
        <v>46074.0</v>
      </c>
      <c r="L139" s="65" t="s">
        <v>366</v>
      </c>
    </row>
    <row r="140">
      <c r="A140" s="110"/>
      <c r="B140" s="116">
        <v>46074.0</v>
      </c>
      <c r="C140" s="112" t="s">
        <v>75</v>
      </c>
      <c r="D140" s="114"/>
      <c r="E140" s="112" t="s">
        <v>472</v>
      </c>
      <c r="F140" s="114"/>
      <c r="G140" s="113" t="s">
        <v>22</v>
      </c>
      <c r="H140" s="112" t="s">
        <v>156</v>
      </c>
      <c r="I140" s="112" t="s">
        <v>473</v>
      </c>
      <c r="J140" s="112" t="s">
        <v>411</v>
      </c>
      <c r="K140" s="117">
        <v>46077.0</v>
      </c>
      <c r="L140" s="112" t="s">
        <v>33</v>
      </c>
    </row>
    <row r="141">
      <c r="A141" s="45"/>
      <c r="B141" s="76">
        <v>46076.0</v>
      </c>
      <c r="C141" s="33" t="s">
        <v>474</v>
      </c>
      <c r="D141" s="34"/>
      <c r="E141" s="33" t="s">
        <v>44</v>
      </c>
      <c r="F141" s="34"/>
      <c r="G141" s="35" t="s">
        <v>22</v>
      </c>
      <c r="H141" s="33" t="s">
        <v>109</v>
      </c>
      <c r="I141" s="33" t="s">
        <v>475</v>
      </c>
      <c r="J141" s="33" t="s">
        <v>95</v>
      </c>
      <c r="K141" s="57">
        <v>46076.0</v>
      </c>
      <c r="L141" s="33" t="s">
        <v>95</v>
      </c>
    </row>
    <row r="142">
      <c r="A142" s="45"/>
      <c r="B142" s="76">
        <v>46076.0</v>
      </c>
      <c r="C142" s="33" t="s">
        <v>44</v>
      </c>
      <c r="D142" s="34"/>
      <c r="E142" s="33" t="s">
        <v>476</v>
      </c>
      <c r="F142" s="34"/>
      <c r="G142" s="35" t="s">
        <v>22</v>
      </c>
      <c r="H142" s="33" t="s">
        <v>156</v>
      </c>
      <c r="I142" s="33" t="s">
        <v>86</v>
      </c>
      <c r="J142" s="33" t="s">
        <v>95</v>
      </c>
      <c r="K142" s="57">
        <v>46076.0</v>
      </c>
      <c r="L142" s="33" t="s">
        <v>95</v>
      </c>
    </row>
    <row r="143">
      <c r="A143" s="58"/>
      <c r="B143" s="77">
        <v>46077.0</v>
      </c>
      <c r="C143" s="60" t="s">
        <v>60</v>
      </c>
      <c r="D143" s="61"/>
      <c r="E143" s="60" t="s">
        <v>477</v>
      </c>
      <c r="F143" s="62">
        <f>56945697139</f>
        <v>56945697139</v>
      </c>
      <c r="G143" s="62" t="s">
        <v>22</v>
      </c>
      <c r="H143" s="60" t="s">
        <v>68</v>
      </c>
      <c r="I143" s="60" t="s">
        <v>478</v>
      </c>
      <c r="J143" s="60" t="s">
        <v>33</v>
      </c>
      <c r="K143" s="79">
        <v>46078.0</v>
      </c>
      <c r="L143" s="60" t="s">
        <v>24</v>
      </c>
    </row>
    <row r="144">
      <c r="A144" s="45"/>
      <c r="B144" s="76">
        <v>46077.0</v>
      </c>
      <c r="C144" s="33" t="s">
        <v>185</v>
      </c>
      <c r="D144" s="34"/>
      <c r="E144" s="33" t="s">
        <v>479</v>
      </c>
      <c r="F144" s="34"/>
      <c r="G144" s="35" t="s">
        <v>55</v>
      </c>
      <c r="H144" s="33" t="s">
        <v>183</v>
      </c>
      <c r="I144" s="33" t="s">
        <v>286</v>
      </c>
      <c r="J144" s="33" t="s">
        <v>33</v>
      </c>
      <c r="K144" s="57">
        <v>46077.0</v>
      </c>
      <c r="L144" s="33" t="s">
        <v>33</v>
      </c>
    </row>
    <row r="145">
      <c r="A145" s="58"/>
      <c r="B145" s="77">
        <v>46077.0</v>
      </c>
      <c r="C145" s="60" t="s">
        <v>359</v>
      </c>
      <c r="D145" s="61"/>
      <c r="E145" s="60" t="s">
        <v>480</v>
      </c>
      <c r="F145" s="61"/>
      <c r="G145" s="62" t="s">
        <v>22</v>
      </c>
      <c r="H145" s="60" t="s">
        <v>106</v>
      </c>
      <c r="I145" s="60" t="s">
        <v>459</v>
      </c>
      <c r="J145" s="60" t="s">
        <v>33</v>
      </c>
      <c r="K145" s="79">
        <v>46078.0</v>
      </c>
      <c r="L145" s="60" t="s">
        <v>24</v>
      </c>
    </row>
    <row r="146">
      <c r="A146" s="58"/>
      <c r="B146" s="77">
        <v>46078.0</v>
      </c>
      <c r="C146" s="60" t="s">
        <v>65</v>
      </c>
      <c r="D146" s="61"/>
      <c r="E146" s="60" t="s">
        <v>481</v>
      </c>
      <c r="F146" s="61"/>
      <c r="G146" s="62" t="s">
        <v>22</v>
      </c>
      <c r="H146" s="60" t="s">
        <v>109</v>
      </c>
      <c r="I146" s="60" t="s">
        <v>482</v>
      </c>
      <c r="J146" s="60" t="s">
        <v>24</v>
      </c>
      <c r="K146" s="79">
        <v>46078.0</v>
      </c>
      <c r="L146" s="60" t="s">
        <v>24</v>
      </c>
    </row>
    <row r="147">
      <c r="A147" s="80"/>
      <c r="B147" s="125">
        <v>46057.0</v>
      </c>
      <c r="C147" s="82" t="s">
        <v>75</v>
      </c>
      <c r="D147" s="83"/>
      <c r="E147" s="82" t="s">
        <v>483</v>
      </c>
      <c r="F147" s="84"/>
      <c r="G147" s="84" t="s">
        <v>22</v>
      </c>
      <c r="H147" s="82" t="s">
        <v>109</v>
      </c>
      <c r="I147" s="82" t="s">
        <v>148</v>
      </c>
      <c r="J147" s="82" t="s">
        <v>24</v>
      </c>
      <c r="K147" s="80" t="s">
        <v>484</v>
      </c>
      <c r="L147" s="80"/>
    </row>
    <row r="148">
      <c r="A148" s="126"/>
      <c r="B148" s="127">
        <v>46060.0</v>
      </c>
      <c r="C148" s="128" t="s">
        <v>149</v>
      </c>
      <c r="D148" s="129"/>
      <c r="E148" s="128" t="s">
        <v>372</v>
      </c>
      <c r="F148" s="130"/>
      <c r="G148" s="130" t="s">
        <v>485</v>
      </c>
      <c r="H148" s="128" t="s">
        <v>106</v>
      </c>
      <c r="I148" s="128" t="s">
        <v>386</v>
      </c>
      <c r="J148" s="128" t="s">
        <v>33</v>
      </c>
      <c r="K148" s="126"/>
      <c r="L148" s="126" t="s">
        <v>486</v>
      </c>
    </row>
    <row r="149">
      <c r="A149" s="80"/>
      <c r="B149" s="125">
        <v>46062.0</v>
      </c>
      <c r="C149" s="82" t="s">
        <v>206</v>
      </c>
      <c r="D149" s="83"/>
      <c r="E149" s="82" t="s">
        <v>487</v>
      </c>
      <c r="F149" s="84" t="s">
        <v>488</v>
      </c>
      <c r="G149" s="84" t="s">
        <v>22</v>
      </c>
      <c r="H149" s="82" t="s">
        <v>156</v>
      </c>
      <c r="I149" s="82" t="s">
        <v>69</v>
      </c>
      <c r="J149" s="82" t="s">
        <v>95</v>
      </c>
      <c r="K149" s="80" t="s">
        <v>484</v>
      </c>
      <c r="L149" s="80"/>
    </row>
    <row r="150">
      <c r="A150" s="80"/>
      <c r="B150" s="125">
        <v>46062.0</v>
      </c>
      <c r="C150" s="82" t="s">
        <v>206</v>
      </c>
      <c r="D150" s="83"/>
      <c r="E150" s="82" t="s">
        <v>489</v>
      </c>
      <c r="F150" s="84"/>
      <c r="G150" s="84" t="s">
        <v>22</v>
      </c>
      <c r="H150" s="82" t="s">
        <v>109</v>
      </c>
      <c r="I150" s="82" t="s">
        <v>69</v>
      </c>
      <c r="J150" s="82" t="s">
        <v>95</v>
      </c>
      <c r="K150" s="131">
        <v>46083.0</v>
      </c>
      <c r="L150" s="80" t="s">
        <v>36</v>
      </c>
    </row>
    <row r="151">
      <c r="A151" s="80"/>
      <c r="B151" s="101">
        <v>46063.0</v>
      </c>
      <c r="C151" s="82" t="s">
        <v>40</v>
      </c>
      <c r="D151" s="83"/>
      <c r="E151" s="82" t="s">
        <v>490</v>
      </c>
      <c r="F151" s="83"/>
      <c r="G151" s="84" t="s">
        <v>22</v>
      </c>
      <c r="H151" s="82" t="s">
        <v>491</v>
      </c>
      <c r="I151" s="82" t="s">
        <v>410</v>
      </c>
      <c r="J151" s="82" t="s">
        <v>33</v>
      </c>
      <c r="K151" s="131">
        <v>46083.0</v>
      </c>
      <c r="L151" s="80" t="s">
        <v>36</v>
      </c>
    </row>
    <row r="152">
      <c r="A152" s="80"/>
      <c r="B152" s="101">
        <v>46073.0</v>
      </c>
      <c r="C152" s="82" t="s">
        <v>465</v>
      </c>
      <c r="D152" s="83"/>
      <c r="E152" s="82" t="s">
        <v>492</v>
      </c>
      <c r="F152" s="83" t="s">
        <v>493</v>
      </c>
      <c r="G152" s="84" t="s">
        <v>22</v>
      </c>
      <c r="H152" s="82" t="s">
        <v>494</v>
      </c>
      <c r="I152" s="82" t="s">
        <v>495</v>
      </c>
      <c r="J152" s="82" t="s">
        <v>33</v>
      </c>
      <c r="K152" s="131">
        <v>46084.0</v>
      </c>
      <c r="L152" s="80" t="s">
        <v>33</v>
      </c>
    </row>
    <row r="153">
      <c r="A153" s="80"/>
      <c r="B153" s="101">
        <v>46077.0</v>
      </c>
      <c r="C153" s="82" t="s">
        <v>40</v>
      </c>
      <c r="D153" s="83"/>
      <c r="E153" s="82" t="s">
        <v>496</v>
      </c>
      <c r="F153" s="83"/>
      <c r="G153" s="84" t="s">
        <v>55</v>
      </c>
      <c r="H153" s="82" t="s">
        <v>183</v>
      </c>
      <c r="I153" s="82" t="s">
        <v>497</v>
      </c>
      <c r="J153" s="82" t="s">
        <v>33</v>
      </c>
      <c r="K153" s="131">
        <v>46086.0</v>
      </c>
      <c r="L153" s="80" t="s">
        <v>36</v>
      </c>
    </row>
    <row r="154">
      <c r="A154" s="80"/>
      <c r="B154" s="101">
        <v>46078.0</v>
      </c>
      <c r="C154" s="82" t="s">
        <v>498</v>
      </c>
      <c r="D154" s="83"/>
      <c r="E154" s="82" t="s">
        <v>44</v>
      </c>
      <c r="F154" s="83"/>
      <c r="G154" s="84" t="s">
        <v>22</v>
      </c>
      <c r="H154" s="82" t="s">
        <v>353</v>
      </c>
      <c r="I154" s="82" t="s">
        <v>499</v>
      </c>
      <c r="J154" s="82" t="s">
        <v>24</v>
      </c>
      <c r="K154" s="98">
        <v>46079.0</v>
      </c>
      <c r="L154" s="80" t="s">
        <v>95</v>
      </c>
    </row>
    <row r="155">
      <c r="A155" s="80"/>
      <c r="B155" s="101">
        <v>46079.0</v>
      </c>
      <c r="C155" s="82" t="s">
        <v>500</v>
      </c>
      <c r="D155" s="83"/>
      <c r="E155" s="82" t="s">
        <v>501</v>
      </c>
      <c r="F155" s="83" t="s">
        <v>502</v>
      </c>
      <c r="G155" s="84" t="s">
        <v>22</v>
      </c>
      <c r="H155" s="82" t="s">
        <v>63</v>
      </c>
      <c r="I155" s="82" t="s">
        <v>503</v>
      </c>
      <c r="J155" s="82" t="s">
        <v>95</v>
      </c>
      <c r="K155" s="98">
        <v>46079.0</v>
      </c>
      <c r="L155" s="80" t="s">
        <v>95</v>
      </c>
    </row>
    <row r="156">
      <c r="A156" s="80"/>
      <c r="B156" s="101">
        <v>46079.0</v>
      </c>
      <c r="C156" s="82" t="s">
        <v>226</v>
      </c>
      <c r="D156" s="83"/>
      <c r="E156" s="82" t="s">
        <v>504</v>
      </c>
      <c r="F156" s="83" t="s">
        <v>505</v>
      </c>
      <c r="G156" s="84" t="s">
        <v>22</v>
      </c>
      <c r="H156" s="82" t="s">
        <v>156</v>
      </c>
      <c r="I156" s="82" t="s">
        <v>506</v>
      </c>
      <c r="J156" s="82" t="s">
        <v>95</v>
      </c>
      <c r="K156" s="131">
        <v>46083.0</v>
      </c>
      <c r="L156" s="80" t="s">
        <v>36</v>
      </c>
    </row>
    <row r="157">
      <c r="A157" s="80"/>
      <c r="B157" s="101">
        <v>46079.0</v>
      </c>
      <c r="C157" s="82" t="s">
        <v>206</v>
      </c>
      <c r="D157" s="83"/>
      <c r="E157" s="82" t="s">
        <v>507</v>
      </c>
      <c r="F157" s="83"/>
      <c r="G157" s="84" t="s">
        <v>22</v>
      </c>
      <c r="H157" s="82" t="s">
        <v>332</v>
      </c>
      <c r="I157" s="82" t="s">
        <v>69</v>
      </c>
      <c r="J157" s="82" t="s">
        <v>95</v>
      </c>
      <c r="K157" s="98">
        <v>46080.0</v>
      </c>
      <c r="L157" s="80" t="s">
        <v>25</v>
      </c>
    </row>
    <row r="158">
      <c r="A158" s="80"/>
      <c r="B158" s="101">
        <v>46079.0</v>
      </c>
      <c r="C158" s="82" t="s">
        <v>206</v>
      </c>
      <c r="D158" s="83"/>
      <c r="E158" s="82" t="s">
        <v>508</v>
      </c>
      <c r="F158" s="83"/>
      <c r="G158" s="84" t="s">
        <v>22</v>
      </c>
      <c r="H158" s="82" t="s">
        <v>332</v>
      </c>
      <c r="I158" s="82" t="s">
        <v>69</v>
      </c>
      <c r="J158" s="82" t="s">
        <v>95</v>
      </c>
      <c r="K158" s="98">
        <v>46079.0</v>
      </c>
      <c r="L158" s="80" t="s">
        <v>95</v>
      </c>
    </row>
    <row r="159">
      <c r="A159" s="80"/>
      <c r="B159" s="101">
        <v>46079.0</v>
      </c>
      <c r="C159" s="82" t="s">
        <v>206</v>
      </c>
      <c r="D159" s="83"/>
      <c r="E159" s="82" t="s">
        <v>509</v>
      </c>
      <c r="F159" s="83"/>
      <c r="G159" s="84" t="s">
        <v>510</v>
      </c>
      <c r="H159" s="82" t="s">
        <v>332</v>
      </c>
      <c r="I159" s="82" t="s">
        <v>69</v>
      </c>
      <c r="J159" s="80" t="s">
        <v>95</v>
      </c>
      <c r="K159" s="80" t="s">
        <v>511</v>
      </c>
      <c r="L159" s="80" t="s">
        <v>512</v>
      </c>
    </row>
    <row r="160">
      <c r="A160" s="80"/>
      <c r="B160" s="101">
        <v>46080.0</v>
      </c>
      <c r="C160" s="82" t="s">
        <v>309</v>
      </c>
      <c r="D160" s="83"/>
      <c r="E160" s="82" t="s">
        <v>513</v>
      </c>
      <c r="F160" s="84"/>
      <c r="G160" s="84" t="s">
        <v>22</v>
      </c>
      <c r="H160" s="82" t="s">
        <v>63</v>
      </c>
      <c r="I160" s="82" t="s">
        <v>514</v>
      </c>
      <c r="J160" s="82" t="s">
        <v>25</v>
      </c>
      <c r="K160" s="98">
        <v>46080.0</v>
      </c>
      <c r="L160" s="80"/>
    </row>
    <row r="161">
      <c r="A161" s="80"/>
      <c r="B161" s="101">
        <v>46080.0</v>
      </c>
      <c r="C161" s="82" t="s">
        <v>226</v>
      </c>
      <c r="D161" s="83"/>
      <c r="E161" s="82" t="s">
        <v>515</v>
      </c>
      <c r="F161" s="83"/>
      <c r="G161" s="84" t="s">
        <v>22</v>
      </c>
      <c r="H161" s="82" t="s">
        <v>63</v>
      </c>
      <c r="I161" s="82" t="s">
        <v>516</v>
      </c>
      <c r="J161" s="80" t="s">
        <v>25</v>
      </c>
      <c r="K161" s="98">
        <v>46080.0</v>
      </c>
      <c r="L161" s="80"/>
    </row>
    <row r="162">
      <c r="A162" s="80"/>
      <c r="B162" s="101">
        <v>46080.0</v>
      </c>
      <c r="C162" s="82" t="s">
        <v>465</v>
      </c>
      <c r="D162" s="83"/>
      <c r="E162" s="82" t="s">
        <v>517</v>
      </c>
      <c r="F162" s="83" t="s">
        <v>518</v>
      </c>
      <c r="G162" s="84" t="s">
        <v>22</v>
      </c>
      <c r="H162" s="82" t="s">
        <v>88</v>
      </c>
      <c r="I162" s="82" t="s">
        <v>148</v>
      </c>
      <c r="J162" s="80" t="s">
        <v>25</v>
      </c>
      <c r="K162" s="98">
        <v>46083.0</v>
      </c>
      <c r="L162" s="80" t="s">
        <v>36</v>
      </c>
    </row>
    <row r="163">
      <c r="A163" s="86"/>
      <c r="B163" s="87">
        <v>46081.0</v>
      </c>
      <c r="C163" s="88" t="s">
        <v>206</v>
      </c>
      <c r="D163" s="89"/>
      <c r="E163" s="88" t="s">
        <v>519</v>
      </c>
      <c r="F163" s="90"/>
      <c r="G163" s="90" t="s">
        <v>22</v>
      </c>
      <c r="H163" s="88" t="s">
        <v>73</v>
      </c>
      <c r="I163" s="88" t="s">
        <v>148</v>
      </c>
      <c r="J163" s="88" t="s">
        <v>24</v>
      </c>
      <c r="K163" s="102">
        <v>46081.0</v>
      </c>
      <c r="L163" s="86" t="s">
        <v>24</v>
      </c>
    </row>
    <row r="164">
      <c r="A164" s="80"/>
      <c r="B164" s="101">
        <v>46081.0</v>
      </c>
      <c r="C164" s="82" t="s">
        <v>520</v>
      </c>
      <c r="D164" s="83"/>
      <c r="E164" s="82" t="s">
        <v>521</v>
      </c>
      <c r="F164" s="83" t="s">
        <v>522</v>
      </c>
      <c r="G164" s="84" t="s">
        <v>523</v>
      </c>
      <c r="H164" s="82" t="s">
        <v>63</v>
      </c>
      <c r="I164" s="82" t="s">
        <v>524</v>
      </c>
      <c r="J164" s="82" t="s">
        <v>24</v>
      </c>
      <c r="K164" s="132">
        <v>46083.0</v>
      </c>
      <c r="L164" s="80" t="s">
        <v>36</v>
      </c>
    </row>
    <row r="165">
      <c r="A165" s="80"/>
      <c r="B165" s="133">
        <v>46083.0</v>
      </c>
      <c r="C165" s="82" t="s">
        <v>525</v>
      </c>
      <c r="D165" s="83"/>
      <c r="E165" s="82" t="s">
        <v>44</v>
      </c>
      <c r="F165" s="84"/>
      <c r="G165" s="84" t="s">
        <v>22</v>
      </c>
      <c r="H165" s="82" t="s">
        <v>46</v>
      </c>
      <c r="I165" s="82" t="s">
        <v>526</v>
      </c>
      <c r="J165" s="82" t="s">
        <v>36</v>
      </c>
      <c r="K165" s="131">
        <v>46083.0</v>
      </c>
      <c r="L165" s="80" t="s">
        <v>36</v>
      </c>
    </row>
    <row r="166">
      <c r="A166" s="80"/>
      <c r="B166" s="133">
        <v>46083.0</v>
      </c>
      <c r="C166" s="82" t="s">
        <v>75</v>
      </c>
      <c r="D166" s="84"/>
      <c r="E166" s="82" t="s">
        <v>527</v>
      </c>
      <c r="F166" s="84"/>
      <c r="G166" s="84" t="s">
        <v>528</v>
      </c>
      <c r="H166" s="82" t="s">
        <v>199</v>
      </c>
      <c r="I166" s="82" t="s">
        <v>148</v>
      </c>
      <c r="J166" s="82" t="s">
        <v>36</v>
      </c>
      <c r="K166" s="131">
        <v>46084.0</v>
      </c>
      <c r="L166" s="80" t="s">
        <v>33</v>
      </c>
    </row>
    <row r="167">
      <c r="A167" s="80"/>
      <c r="B167" s="133">
        <v>46083.0</v>
      </c>
      <c r="C167" s="82" t="s">
        <v>243</v>
      </c>
      <c r="D167" s="83"/>
      <c r="E167" s="82" t="s">
        <v>529</v>
      </c>
      <c r="F167" s="83" t="s">
        <v>530</v>
      </c>
      <c r="G167" s="84" t="s">
        <v>22</v>
      </c>
      <c r="H167" s="82" t="s">
        <v>88</v>
      </c>
      <c r="I167" s="82" t="s">
        <v>531</v>
      </c>
      <c r="J167" s="82" t="s">
        <v>36</v>
      </c>
      <c r="K167" s="131">
        <v>46083.0</v>
      </c>
      <c r="L167" s="80" t="s">
        <v>36</v>
      </c>
    </row>
    <row r="168">
      <c r="A168" s="86"/>
      <c r="B168" s="134">
        <v>46083.0</v>
      </c>
      <c r="C168" s="88" t="s">
        <v>243</v>
      </c>
      <c r="D168" s="89"/>
      <c r="E168" s="88" t="s">
        <v>532</v>
      </c>
      <c r="F168" s="89"/>
      <c r="G168" s="90" t="s">
        <v>22</v>
      </c>
      <c r="H168" s="88" t="s">
        <v>88</v>
      </c>
      <c r="I168" s="88" t="s">
        <v>531</v>
      </c>
      <c r="J168" s="88" t="s">
        <v>36</v>
      </c>
      <c r="K168" s="135">
        <v>46087.0</v>
      </c>
      <c r="L168" s="86" t="s">
        <v>24</v>
      </c>
    </row>
    <row r="169">
      <c r="A169" s="80"/>
      <c r="B169" s="133">
        <v>46084.0</v>
      </c>
      <c r="C169" s="82" t="s">
        <v>40</v>
      </c>
      <c r="D169" s="83"/>
      <c r="E169" s="82" t="s">
        <v>533</v>
      </c>
      <c r="F169" s="83"/>
      <c r="G169" s="84" t="s">
        <v>22</v>
      </c>
      <c r="H169" s="82" t="s">
        <v>42</v>
      </c>
      <c r="I169" s="82" t="s">
        <v>43</v>
      </c>
      <c r="J169" s="82" t="s">
        <v>33</v>
      </c>
      <c r="K169" s="131">
        <v>46084.0</v>
      </c>
      <c r="L169" s="80" t="s">
        <v>33</v>
      </c>
    </row>
    <row r="170">
      <c r="A170" s="80"/>
      <c r="B170" s="133">
        <v>46084.0</v>
      </c>
      <c r="C170" s="82" t="s">
        <v>40</v>
      </c>
      <c r="D170" s="83"/>
      <c r="E170" s="82" t="s">
        <v>534</v>
      </c>
      <c r="F170" s="83"/>
      <c r="G170" s="84" t="s">
        <v>22</v>
      </c>
      <c r="H170" s="82" t="s">
        <v>42</v>
      </c>
      <c r="I170" s="82" t="s">
        <v>43</v>
      </c>
      <c r="J170" s="82" t="s">
        <v>33</v>
      </c>
      <c r="K170" s="80" t="s">
        <v>535</v>
      </c>
      <c r="L170" s="80" t="s">
        <v>33</v>
      </c>
    </row>
    <row r="171">
      <c r="A171" s="80"/>
      <c r="B171" s="133">
        <v>46084.0</v>
      </c>
      <c r="C171" s="82" t="s">
        <v>40</v>
      </c>
      <c r="D171" s="83"/>
      <c r="E171" s="82" t="s">
        <v>536</v>
      </c>
      <c r="F171" s="83"/>
      <c r="G171" s="84" t="s">
        <v>55</v>
      </c>
      <c r="H171" s="82" t="s">
        <v>42</v>
      </c>
      <c r="I171" s="82" t="s">
        <v>43</v>
      </c>
      <c r="J171" s="82" t="s">
        <v>33</v>
      </c>
      <c r="K171" s="131">
        <v>46086.0</v>
      </c>
      <c r="L171" s="80" t="s">
        <v>36</v>
      </c>
    </row>
    <row r="172">
      <c r="A172" s="80"/>
      <c r="B172" s="133">
        <v>46084.0</v>
      </c>
      <c r="C172" s="82" t="s">
        <v>40</v>
      </c>
      <c r="D172" s="83"/>
      <c r="E172" s="82" t="s">
        <v>537</v>
      </c>
      <c r="F172" s="83"/>
      <c r="G172" s="84" t="s">
        <v>22</v>
      </c>
      <c r="H172" s="82" t="s">
        <v>42</v>
      </c>
      <c r="I172" s="82" t="s">
        <v>43</v>
      </c>
      <c r="J172" s="82" t="s">
        <v>33</v>
      </c>
      <c r="K172" s="131">
        <v>46085.0</v>
      </c>
      <c r="L172" s="80" t="s">
        <v>25</v>
      </c>
    </row>
    <row r="173">
      <c r="A173" s="80"/>
      <c r="B173" s="133">
        <v>46084.0</v>
      </c>
      <c r="C173" s="82" t="s">
        <v>40</v>
      </c>
      <c r="D173" s="83"/>
      <c r="E173" s="82" t="s">
        <v>538</v>
      </c>
      <c r="F173" s="83"/>
      <c r="G173" s="84" t="s">
        <v>22</v>
      </c>
      <c r="H173" s="82" t="s">
        <v>68</v>
      </c>
      <c r="I173" s="82" t="s">
        <v>539</v>
      </c>
      <c r="J173" s="82" t="s">
        <v>33</v>
      </c>
      <c r="K173" s="131">
        <v>46085.0</v>
      </c>
      <c r="L173" s="80" t="s">
        <v>25</v>
      </c>
    </row>
    <row r="174">
      <c r="B174" s="42">
        <v>46084.0</v>
      </c>
      <c r="C174" s="33" t="s">
        <v>40</v>
      </c>
      <c r="D174" s="34"/>
      <c r="E174" s="33" t="s">
        <v>540</v>
      </c>
      <c r="F174" s="34"/>
      <c r="G174" s="35" t="s">
        <v>22</v>
      </c>
      <c r="H174" s="33" t="s">
        <v>42</v>
      </c>
      <c r="I174" s="33" t="s">
        <v>43</v>
      </c>
      <c r="J174" s="33" t="s">
        <v>33</v>
      </c>
      <c r="K174" s="56">
        <v>46095.0</v>
      </c>
      <c r="L174" s="33" t="s">
        <v>33</v>
      </c>
    </row>
    <row r="175">
      <c r="A175" s="110"/>
      <c r="B175" s="136">
        <v>46084.0</v>
      </c>
      <c r="C175" s="112" t="s">
        <v>40</v>
      </c>
      <c r="D175" s="114"/>
      <c r="E175" s="112" t="s">
        <v>541</v>
      </c>
      <c r="F175" s="114"/>
      <c r="G175" s="113" t="s">
        <v>22</v>
      </c>
      <c r="H175" s="112" t="s">
        <v>63</v>
      </c>
      <c r="I175" s="112" t="s">
        <v>43</v>
      </c>
      <c r="J175" s="112" t="s">
        <v>33</v>
      </c>
      <c r="K175" s="115">
        <v>46112.0</v>
      </c>
      <c r="L175" s="112" t="s">
        <v>33</v>
      </c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  <c r="AB175" s="110"/>
    </row>
    <row r="176">
      <c r="A176" s="137"/>
      <c r="B176" s="138">
        <v>46085.0</v>
      </c>
      <c r="C176" s="139" t="s">
        <v>24</v>
      </c>
      <c r="D176" s="140"/>
      <c r="E176" s="139" t="s">
        <v>542</v>
      </c>
      <c r="F176" s="140"/>
      <c r="G176" s="141" t="s">
        <v>22</v>
      </c>
      <c r="H176" s="139" t="s">
        <v>88</v>
      </c>
      <c r="I176" s="139" t="s">
        <v>543</v>
      </c>
      <c r="J176" s="139" t="s">
        <v>25</v>
      </c>
      <c r="K176" s="142">
        <v>46085.0</v>
      </c>
      <c r="L176" s="137" t="s">
        <v>366</v>
      </c>
    </row>
    <row r="177">
      <c r="A177" s="80"/>
      <c r="B177" s="81">
        <v>46086.0</v>
      </c>
      <c r="C177" s="82" t="s">
        <v>544</v>
      </c>
      <c r="D177" s="83"/>
      <c r="E177" s="82" t="s">
        <v>44</v>
      </c>
      <c r="F177" s="83"/>
      <c r="G177" s="84" t="s">
        <v>341</v>
      </c>
      <c r="H177" s="82" t="s">
        <v>183</v>
      </c>
      <c r="I177" s="82" t="s">
        <v>148</v>
      </c>
      <c r="J177" s="82" t="s">
        <v>36</v>
      </c>
      <c r="K177" s="80"/>
      <c r="L177" s="80"/>
    </row>
    <row r="178">
      <c r="A178" s="86"/>
      <c r="B178" s="143">
        <v>46086.0</v>
      </c>
      <c r="C178" s="88" t="s">
        <v>70</v>
      </c>
      <c r="D178" s="89"/>
      <c r="E178" s="88" t="s">
        <v>545</v>
      </c>
      <c r="F178" s="89" t="s">
        <v>546</v>
      </c>
      <c r="G178" s="90" t="s">
        <v>22</v>
      </c>
      <c r="H178" s="88" t="s">
        <v>106</v>
      </c>
      <c r="I178" s="88" t="s">
        <v>547</v>
      </c>
      <c r="J178" s="88" t="s">
        <v>36</v>
      </c>
      <c r="K178" s="86"/>
      <c r="L178" s="86"/>
    </row>
    <row r="179">
      <c r="A179" s="86"/>
      <c r="B179" s="143">
        <v>46086.0</v>
      </c>
      <c r="C179" s="88" t="s">
        <v>70</v>
      </c>
      <c r="D179" s="89"/>
      <c r="E179" s="88" t="s">
        <v>548</v>
      </c>
      <c r="F179" s="89" t="s">
        <v>549</v>
      </c>
      <c r="G179" s="90" t="s">
        <v>22</v>
      </c>
      <c r="H179" s="88" t="s">
        <v>106</v>
      </c>
      <c r="I179" s="88" t="s">
        <v>547</v>
      </c>
      <c r="J179" s="88" t="s">
        <v>36</v>
      </c>
      <c r="K179" s="88"/>
      <c r="L179" s="86"/>
    </row>
    <row r="180">
      <c r="A180" s="86"/>
      <c r="B180" s="143">
        <v>46086.0</v>
      </c>
      <c r="C180" s="88" t="s">
        <v>70</v>
      </c>
      <c r="D180" s="89"/>
      <c r="E180" s="88" t="s">
        <v>550</v>
      </c>
      <c r="F180" s="89" t="s">
        <v>551</v>
      </c>
      <c r="G180" s="90" t="s">
        <v>22</v>
      </c>
      <c r="H180" s="88" t="s">
        <v>106</v>
      </c>
      <c r="I180" s="88" t="s">
        <v>547</v>
      </c>
      <c r="J180" s="88" t="s">
        <v>36</v>
      </c>
      <c r="K180" s="86"/>
      <c r="L180" s="86"/>
    </row>
    <row r="181">
      <c r="A181" s="80"/>
      <c r="B181" s="81">
        <v>46086.0</v>
      </c>
      <c r="C181" s="82" t="s">
        <v>552</v>
      </c>
      <c r="D181" s="83"/>
      <c r="E181" s="82" t="s">
        <v>44</v>
      </c>
      <c r="F181" s="83"/>
      <c r="G181" s="84" t="s">
        <v>22</v>
      </c>
      <c r="H181" s="82" t="s">
        <v>68</v>
      </c>
      <c r="I181" s="82" t="s">
        <v>553</v>
      </c>
      <c r="J181" s="82" t="s">
        <v>36</v>
      </c>
      <c r="K181" s="80"/>
      <c r="L181" s="80"/>
    </row>
    <row r="182">
      <c r="B182" s="69">
        <v>46086.0</v>
      </c>
      <c r="C182" s="33" t="s">
        <v>75</v>
      </c>
      <c r="D182" s="34"/>
      <c r="E182" s="33" t="s">
        <v>554</v>
      </c>
      <c r="F182" s="34"/>
      <c r="G182" s="35" t="s">
        <v>22</v>
      </c>
      <c r="H182" s="33" t="s">
        <v>46</v>
      </c>
      <c r="I182" s="33" t="s">
        <v>133</v>
      </c>
      <c r="J182" s="33" t="s">
        <v>36</v>
      </c>
      <c r="K182" s="56">
        <v>46093.0</v>
      </c>
      <c r="L182" s="33" t="s">
        <v>36</v>
      </c>
    </row>
    <row r="183">
      <c r="A183" s="45"/>
      <c r="B183" s="69">
        <v>46086.0</v>
      </c>
      <c r="C183" s="33" t="s">
        <v>70</v>
      </c>
      <c r="D183" s="34"/>
      <c r="E183" s="33" t="s">
        <v>555</v>
      </c>
      <c r="F183" s="35" t="s">
        <v>556</v>
      </c>
      <c r="G183" s="35" t="s">
        <v>22</v>
      </c>
      <c r="H183" s="33" t="s">
        <v>106</v>
      </c>
      <c r="I183" s="33" t="s">
        <v>547</v>
      </c>
      <c r="J183" s="33" t="s">
        <v>36</v>
      </c>
      <c r="K183" s="56">
        <v>46093.0</v>
      </c>
      <c r="L183" s="33" t="s">
        <v>36</v>
      </c>
    </row>
    <row r="184">
      <c r="A184" s="86" t="s">
        <v>0</v>
      </c>
      <c r="B184" s="87">
        <v>46080.0</v>
      </c>
      <c r="C184" s="88" t="s">
        <v>465</v>
      </c>
      <c r="D184" s="89"/>
      <c r="E184" s="88" t="s">
        <v>557</v>
      </c>
      <c r="F184" s="89" t="s">
        <v>558</v>
      </c>
      <c r="G184" s="90" t="s">
        <v>22</v>
      </c>
      <c r="H184" s="88" t="s">
        <v>88</v>
      </c>
      <c r="I184" s="88" t="s">
        <v>148</v>
      </c>
      <c r="J184" s="88" t="s">
        <v>25</v>
      </c>
      <c r="K184" s="102">
        <v>46080.0</v>
      </c>
      <c r="L184" s="86" t="s">
        <v>25</v>
      </c>
    </row>
    <row r="185">
      <c r="A185" s="86"/>
      <c r="B185" s="143">
        <v>46088.0</v>
      </c>
      <c r="C185" s="88" t="s">
        <v>243</v>
      </c>
      <c r="D185" s="89"/>
      <c r="E185" s="88" t="s">
        <v>559</v>
      </c>
      <c r="F185" s="89"/>
      <c r="G185" s="89" t="s">
        <v>22</v>
      </c>
      <c r="H185" s="88" t="s">
        <v>156</v>
      </c>
      <c r="I185" s="88" t="s">
        <v>148</v>
      </c>
      <c r="J185" s="88" t="s">
        <v>24</v>
      </c>
      <c r="K185" s="135">
        <v>46088.0</v>
      </c>
      <c r="L185" s="86" t="s">
        <v>24</v>
      </c>
    </row>
    <row r="186">
      <c r="A186" s="144"/>
      <c r="B186" s="145">
        <v>45832.0</v>
      </c>
      <c r="C186" s="146" t="s">
        <v>560</v>
      </c>
      <c r="D186" s="147"/>
      <c r="E186" s="146" t="s">
        <v>561</v>
      </c>
      <c r="F186" s="147"/>
      <c r="G186" s="148" t="s">
        <v>22</v>
      </c>
      <c r="H186" s="146"/>
      <c r="I186" s="146" t="s">
        <v>562</v>
      </c>
      <c r="J186" s="146" t="s">
        <v>400</v>
      </c>
      <c r="K186" s="149" t="s">
        <v>563</v>
      </c>
      <c r="L186" s="147"/>
    </row>
    <row r="187">
      <c r="A187" s="144"/>
      <c r="B187" s="150">
        <v>45894.0</v>
      </c>
      <c r="C187" s="146" t="s">
        <v>146</v>
      </c>
      <c r="D187" s="151"/>
      <c r="E187" s="152" t="s">
        <v>564</v>
      </c>
      <c r="F187" s="151"/>
      <c r="G187" s="153" t="s">
        <v>22</v>
      </c>
      <c r="H187" s="146"/>
      <c r="I187" s="146" t="s">
        <v>565</v>
      </c>
      <c r="J187" s="146" t="s">
        <v>95</v>
      </c>
      <c r="K187" s="149" t="s">
        <v>563</v>
      </c>
      <c r="L187" s="147"/>
    </row>
    <row r="188">
      <c r="A188" s="144"/>
      <c r="B188" s="154">
        <v>45901.0</v>
      </c>
      <c r="C188" s="146" t="s">
        <v>146</v>
      </c>
      <c r="D188" s="147"/>
      <c r="E188" s="146" t="s">
        <v>566</v>
      </c>
      <c r="F188" s="147"/>
      <c r="G188" s="148" t="s">
        <v>22</v>
      </c>
      <c r="H188" s="146"/>
      <c r="I188" s="146" t="s">
        <v>567</v>
      </c>
      <c r="J188" s="146" t="s">
        <v>95</v>
      </c>
      <c r="K188" s="149" t="s">
        <v>563</v>
      </c>
      <c r="L188" s="147"/>
    </row>
    <row r="189">
      <c r="A189" s="86"/>
      <c r="B189" s="104">
        <v>46053.0</v>
      </c>
      <c r="C189" s="88" t="s">
        <v>75</v>
      </c>
      <c r="D189" s="89"/>
      <c r="E189" s="88" t="s">
        <v>568</v>
      </c>
      <c r="F189" s="89"/>
      <c r="G189" s="90" t="s">
        <v>55</v>
      </c>
      <c r="H189" s="88" t="s">
        <v>81</v>
      </c>
      <c r="I189" s="88" t="s">
        <v>569</v>
      </c>
      <c r="J189" s="88" t="s">
        <v>33</v>
      </c>
      <c r="K189" s="135">
        <v>46088.0</v>
      </c>
      <c r="L189" s="86" t="s">
        <v>24</v>
      </c>
    </row>
    <row r="190">
      <c r="A190" s="86"/>
      <c r="B190" s="87">
        <v>46081.0</v>
      </c>
      <c r="C190" s="88" t="s">
        <v>570</v>
      </c>
      <c r="D190" s="89"/>
      <c r="E190" s="88" t="s">
        <v>571</v>
      </c>
      <c r="F190" s="89" t="s">
        <v>572</v>
      </c>
      <c r="G190" s="90" t="s">
        <v>22</v>
      </c>
      <c r="H190" s="88" t="s">
        <v>73</v>
      </c>
      <c r="I190" s="88" t="s">
        <v>148</v>
      </c>
      <c r="J190" s="88" t="s">
        <v>24</v>
      </c>
      <c r="K190" s="135">
        <v>46090.0</v>
      </c>
      <c r="L190" s="86" t="s">
        <v>24</v>
      </c>
    </row>
    <row r="191">
      <c r="A191" s="155"/>
      <c r="B191" s="134">
        <v>46085.0</v>
      </c>
      <c r="C191" s="88" t="s">
        <v>573</v>
      </c>
      <c r="D191" s="89"/>
      <c r="E191" s="88" t="s">
        <v>65</v>
      </c>
      <c r="F191" s="89"/>
      <c r="G191" s="90" t="s">
        <v>22</v>
      </c>
      <c r="H191" s="88" t="s">
        <v>100</v>
      </c>
      <c r="I191" s="88" t="s">
        <v>356</v>
      </c>
      <c r="J191" s="88" t="s">
        <v>366</v>
      </c>
      <c r="K191" s="135">
        <v>46092.0</v>
      </c>
      <c r="L191" s="86" t="s">
        <v>24</v>
      </c>
    </row>
    <row r="192">
      <c r="A192" s="86"/>
      <c r="B192" s="143">
        <v>46086.0</v>
      </c>
      <c r="C192" s="88" t="s">
        <v>70</v>
      </c>
      <c r="D192" s="89"/>
      <c r="E192" s="88" t="s">
        <v>574</v>
      </c>
      <c r="F192" s="89" t="s">
        <v>417</v>
      </c>
      <c r="G192" s="90" t="s">
        <v>22</v>
      </c>
      <c r="H192" s="88" t="s">
        <v>106</v>
      </c>
      <c r="I192" s="88" t="s">
        <v>547</v>
      </c>
      <c r="J192" s="88" t="s">
        <v>36</v>
      </c>
      <c r="K192" s="135">
        <v>46088.0</v>
      </c>
      <c r="L192" s="86" t="s">
        <v>24</v>
      </c>
    </row>
    <row r="193">
      <c r="A193" s="45"/>
      <c r="B193" s="69">
        <v>46086.0</v>
      </c>
      <c r="C193" s="33" t="s">
        <v>452</v>
      </c>
      <c r="D193" s="34"/>
      <c r="E193" s="33" t="s">
        <v>575</v>
      </c>
      <c r="F193" s="34"/>
      <c r="G193" s="35" t="s">
        <v>22</v>
      </c>
      <c r="H193" s="33" t="s">
        <v>68</v>
      </c>
      <c r="I193" s="33" t="s">
        <v>576</v>
      </c>
      <c r="J193" s="33" t="s">
        <v>36</v>
      </c>
      <c r="K193" s="56">
        <v>46098.0</v>
      </c>
      <c r="L193" s="33" t="s">
        <v>33</v>
      </c>
    </row>
    <row r="194">
      <c r="A194" s="58"/>
      <c r="B194" s="156">
        <v>46086.0</v>
      </c>
      <c r="C194" s="60" t="s">
        <v>70</v>
      </c>
      <c r="D194" s="61"/>
      <c r="E194" s="60" t="s">
        <v>577</v>
      </c>
      <c r="F194" s="62" t="s">
        <v>578</v>
      </c>
      <c r="G194" s="62" t="s">
        <v>22</v>
      </c>
      <c r="H194" s="60" t="s">
        <v>106</v>
      </c>
      <c r="I194" s="60" t="s">
        <v>547</v>
      </c>
      <c r="J194" s="60" t="s">
        <v>36</v>
      </c>
      <c r="K194" s="63">
        <v>46099.0</v>
      </c>
      <c r="L194" s="60" t="s">
        <v>24</v>
      </c>
    </row>
    <row r="195">
      <c r="A195" s="155"/>
      <c r="B195" s="143">
        <v>46087.0</v>
      </c>
      <c r="C195" s="88" t="s">
        <v>579</v>
      </c>
      <c r="D195" s="89"/>
      <c r="E195" s="88" t="s">
        <v>580</v>
      </c>
      <c r="F195" s="89"/>
      <c r="G195" s="90" t="s">
        <v>22</v>
      </c>
      <c r="H195" s="88" t="s">
        <v>63</v>
      </c>
      <c r="I195" s="88" t="s">
        <v>148</v>
      </c>
      <c r="J195" s="88" t="s">
        <v>24</v>
      </c>
      <c r="K195" s="135">
        <v>46088.0</v>
      </c>
      <c r="L195" s="86" t="s">
        <v>24</v>
      </c>
    </row>
    <row r="196">
      <c r="A196" s="45"/>
      <c r="B196" s="69">
        <v>46087.0</v>
      </c>
      <c r="C196" s="33" t="s">
        <v>465</v>
      </c>
      <c r="D196" s="34"/>
      <c r="E196" s="33" t="s">
        <v>581</v>
      </c>
      <c r="F196" s="35" t="s">
        <v>582</v>
      </c>
      <c r="G196" s="35" t="s">
        <v>22</v>
      </c>
      <c r="H196" s="33" t="s">
        <v>31</v>
      </c>
      <c r="I196" s="33" t="s">
        <v>148</v>
      </c>
      <c r="J196" s="33" t="s">
        <v>24</v>
      </c>
      <c r="K196" s="56">
        <v>46094.0</v>
      </c>
      <c r="L196" s="33" t="s">
        <v>25</v>
      </c>
    </row>
    <row r="197">
      <c r="B197" s="69">
        <v>46088.0</v>
      </c>
      <c r="C197" s="33" t="s">
        <v>243</v>
      </c>
      <c r="D197" s="34"/>
      <c r="E197" s="33" t="s">
        <v>583</v>
      </c>
      <c r="F197" s="34"/>
      <c r="G197" s="35" t="s">
        <v>22</v>
      </c>
      <c r="H197" s="33" t="s">
        <v>156</v>
      </c>
      <c r="I197" s="33" t="s">
        <v>148</v>
      </c>
      <c r="J197" s="33" t="s">
        <v>24</v>
      </c>
      <c r="K197" s="56">
        <v>46093.0</v>
      </c>
      <c r="L197" s="33" t="s">
        <v>36</v>
      </c>
    </row>
    <row r="198">
      <c r="A198" s="86"/>
      <c r="B198" s="143">
        <v>46088.0</v>
      </c>
      <c r="C198" s="88" t="s">
        <v>584</v>
      </c>
      <c r="D198" s="89"/>
      <c r="E198" s="88" t="s">
        <v>44</v>
      </c>
      <c r="F198" s="89"/>
      <c r="G198" s="90" t="s">
        <v>22</v>
      </c>
      <c r="H198" s="88" t="s">
        <v>88</v>
      </c>
      <c r="I198" s="88" t="s">
        <v>263</v>
      </c>
      <c r="J198" s="88" t="s">
        <v>24</v>
      </c>
      <c r="K198" s="135">
        <v>46088.0</v>
      </c>
      <c r="L198" s="86" t="s">
        <v>24</v>
      </c>
    </row>
    <row r="199">
      <c r="A199" s="86"/>
      <c r="B199" s="143">
        <v>46088.0</v>
      </c>
      <c r="C199" s="88" t="s">
        <v>585</v>
      </c>
      <c r="D199" s="89"/>
      <c r="E199" s="88" t="s">
        <v>44</v>
      </c>
      <c r="F199" s="89"/>
      <c r="G199" s="90" t="s">
        <v>22</v>
      </c>
      <c r="H199" s="88" t="s">
        <v>88</v>
      </c>
      <c r="I199" s="88" t="s">
        <v>295</v>
      </c>
      <c r="J199" s="88" t="s">
        <v>24</v>
      </c>
      <c r="K199" s="135">
        <v>46090.0</v>
      </c>
      <c r="L199" s="86" t="s">
        <v>24</v>
      </c>
    </row>
    <row r="200">
      <c r="A200" s="86"/>
      <c r="B200" s="143">
        <v>46090.0</v>
      </c>
      <c r="C200" s="88" t="s">
        <v>197</v>
      </c>
      <c r="D200" s="89"/>
      <c r="E200" s="88" t="s">
        <v>586</v>
      </c>
      <c r="F200" s="89"/>
      <c r="G200" s="90" t="s">
        <v>22</v>
      </c>
      <c r="H200" s="88" t="s">
        <v>135</v>
      </c>
      <c r="I200" s="88" t="s">
        <v>587</v>
      </c>
      <c r="J200" s="88" t="s">
        <v>24</v>
      </c>
      <c r="K200" s="135">
        <v>46088.0</v>
      </c>
      <c r="L200" s="86" t="s">
        <v>24</v>
      </c>
    </row>
    <row r="201">
      <c r="A201" s="86"/>
      <c r="B201" s="143">
        <v>46091.0</v>
      </c>
      <c r="C201" s="88" t="s">
        <v>33</v>
      </c>
      <c r="D201" s="89"/>
      <c r="E201" s="88" t="s">
        <v>588</v>
      </c>
      <c r="F201" s="89"/>
      <c r="G201" s="90" t="s">
        <v>22</v>
      </c>
      <c r="H201" s="88" t="s">
        <v>68</v>
      </c>
      <c r="I201" s="88" t="s">
        <v>589</v>
      </c>
      <c r="J201" s="88" t="s">
        <v>33</v>
      </c>
      <c r="K201" s="135">
        <v>46088.0</v>
      </c>
      <c r="L201" s="86" t="s">
        <v>24</v>
      </c>
    </row>
    <row r="202">
      <c r="A202" s="155"/>
      <c r="B202" s="143">
        <v>46091.0</v>
      </c>
      <c r="C202" s="88" t="s">
        <v>75</v>
      </c>
      <c r="D202" s="89"/>
      <c r="E202" s="88" t="s">
        <v>590</v>
      </c>
      <c r="F202" s="89"/>
      <c r="G202" s="90" t="s">
        <v>22</v>
      </c>
      <c r="H202" s="88" t="s">
        <v>156</v>
      </c>
      <c r="I202" s="88" t="s">
        <v>591</v>
      </c>
      <c r="J202" s="88" t="s">
        <v>33</v>
      </c>
      <c r="K202" s="135">
        <v>46088.0</v>
      </c>
      <c r="L202" s="86" t="s">
        <v>24</v>
      </c>
    </row>
    <row r="203">
      <c r="A203" s="80"/>
      <c r="B203" s="81">
        <v>46091.0</v>
      </c>
      <c r="C203" s="82" t="s">
        <v>75</v>
      </c>
      <c r="D203" s="83"/>
      <c r="E203" s="82" t="s">
        <v>592</v>
      </c>
      <c r="F203" s="84"/>
      <c r="G203" s="84" t="s">
        <v>22</v>
      </c>
      <c r="H203" s="82" t="s">
        <v>199</v>
      </c>
      <c r="I203" s="82" t="s">
        <v>591</v>
      </c>
      <c r="J203" s="82" t="s">
        <v>33</v>
      </c>
      <c r="K203" s="131">
        <v>46091.0</v>
      </c>
      <c r="L203" s="80" t="s">
        <v>593</v>
      </c>
    </row>
    <row r="204">
      <c r="A204" s="80"/>
      <c r="B204" s="81">
        <v>46091.0</v>
      </c>
      <c r="C204" s="82" t="s">
        <v>75</v>
      </c>
      <c r="D204" s="83"/>
      <c r="E204" s="82" t="s">
        <v>594</v>
      </c>
      <c r="F204" s="83" t="s">
        <v>595</v>
      </c>
      <c r="G204" s="84" t="s">
        <v>22</v>
      </c>
      <c r="H204" s="82" t="s">
        <v>199</v>
      </c>
      <c r="I204" s="82" t="s">
        <v>591</v>
      </c>
      <c r="J204" s="82" t="s">
        <v>33</v>
      </c>
      <c r="K204" s="131">
        <v>46091.0</v>
      </c>
      <c r="L204" s="80" t="s">
        <v>593</v>
      </c>
    </row>
    <row r="205">
      <c r="A205" s="157"/>
      <c r="B205" s="158">
        <v>46091.0</v>
      </c>
      <c r="C205" s="159" t="s">
        <v>596</v>
      </c>
      <c r="D205" s="160"/>
      <c r="E205" s="159" t="s">
        <v>29</v>
      </c>
      <c r="F205" s="161"/>
      <c r="G205" s="161" t="s">
        <v>22</v>
      </c>
      <c r="H205" s="159" t="s">
        <v>81</v>
      </c>
      <c r="I205" s="159" t="s">
        <v>459</v>
      </c>
      <c r="J205" s="159" t="s">
        <v>33</v>
      </c>
      <c r="K205" s="157"/>
      <c r="L205" s="157"/>
    </row>
    <row r="206">
      <c r="B206" s="69">
        <v>46091.0</v>
      </c>
      <c r="C206" s="33" t="s">
        <v>75</v>
      </c>
      <c r="D206" s="34"/>
      <c r="E206" s="33" t="s">
        <v>597</v>
      </c>
      <c r="F206" s="34"/>
      <c r="G206" s="35" t="s">
        <v>22</v>
      </c>
      <c r="H206" s="33" t="s">
        <v>156</v>
      </c>
      <c r="I206" s="33" t="s">
        <v>598</v>
      </c>
      <c r="J206" s="33" t="s">
        <v>33</v>
      </c>
      <c r="K206" s="56">
        <v>46093.0</v>
      </c>
      <c r="L206" s="33" t="s">
        <v>36</v>
      </c>
    </row>
    <row r="207">
      <c r="A207" s="110"/>
      <c r="B207" s="162">
        <v>46093.0</v>
      </c>
      <c r="C207" s="112" t="s">
        <v>70</v>
      </c>
      <c r="D207" s="114"/>
      <c r="E207" s="112" t="s">
        <v>599</v>
      </c>
      <c r="F207" s="113" t="s">
        <v>600</v>
      </c>
      <c r="G207" s="113" t="s">
        <v>22</v>
      </c>
      <c r="H207" s="112" t="s">
        <v>106</v>
      </c>
      <c r="I207" s="112" t="s">
        <v>547</v>
      </c>
      <c r="J207" s="112" t="s">
        <v>36</v>
      </c>
      <c r="K207" s="115">
        <v>46093.0</v>
      </c>
      <c r="L207" s="112" t="s">
        <v>36</v>
      </c>
    </row>
    <row r="208">
      <c r="A208" s="110"/>
      <c r="B208" s="162">
        <v>46093.0</v>
      </c>
      <c r="C208" s="112" t="s">
        <v>70</v>
      </c>
      <c r="D208" s="114"/>
      <c r="E208" s="112" t="s">
        <v>601</v>
      </c>
      <c r="F208" s="113" t="s">
        <v>602</v>
      </c>
      <c r="G208" s="113" t="s">
        <v>22</v>
      </c>
      <c r="H208" s="112" t="s">
        <v>106</v>
      </c>
      <c r="I208" s="112" t="s">
        <v>547</v>
      </c>
      <c r="J208" s="112" t="s">
        <v>36</v>
      </c>
      <c r="K208" s="115">
        <v>46094.0</v>
      </c>
      <c r="L208" s="112" t="s">
        <v>603</v>
      </c>
    </row>
    <row r="209">
      <c r="B209" s="162">
        <v>46093.0</v>
      </c>
      <c r="C209" s="112" t="s">
        <v>70</v>
      </c>
      <c r="D209" s="114"/>
      <c r="E209" s="112" t="s">
        <v>604</v>
      </c>
      <c r="F209" s="113" t="s">
        <v>605</v>
      </c>
      <c r="G209" s="113" t="s">
        <v>22</v>
      </c>
      <c r="H209" s="112" t="s">
        <v>106</v>
      </c>
      <c r="I209" s="112" t="s">
        <v>606</v>
      </c>
      <c r="J209" s="112" t="s">
        <v>36</v>
      </c>
      <c r="K209" s="115">
        <v>46093.0</v>
      </c>
      <c r="L209" s="112" t="s">
        <v>36</v>
      </c>
    </row>
    <row r="210">
      <c r="B210" s="69">
        <v>46093.0</v>
      </c>
      <c r="C210" s="33" t="s">
        <v>607</v>
      </c>
      <c r="D210" s="34"/>
      <c r="E210" s="33" t="s">
        <v>37</v>
      </c>
      <c r="F210" s="34"/>
      <c r="G210" s="35" t="s">
        <v>22</v>
      </c>
      <c r="H210" s="33" t="s">
        <v>42</v>
      </c>
      <c r="I210" s="33" t="s">
        <v>608</v>
      </c>
      <c r="J210" s="33" t="s">
        <v>36</v>
      </c>
      <c r="K210" s="56">
        <v>46093.0</v>
      </c>
      <c r="L210" s="33" t="s">
        <v>36</v>
      </c>
    </row>
    <row r="211">
      <c r="B211" s="162">
        <v>46093.0</v>
      </c>
      <c r="C211" s="112" t="s">
        <v>609</v>
      </c>
      <c r="D211" s="114"/>
      <c r="E211" s="112" t="s">
        <v>37</v>
      </c>
      <c r="F211" s="114">
        <f>56945141261</f>
        <v>56945141261</v>
      </c>
      <c r="G211" s="113" t="s">
        <v>22</v>
      </c>
      <c r="H211" s="112" t="s">
        <v>42</v>
      </c>
      <c r="I211" s="112" t="s">
        <v>610</v>
      </c>
      <c r="J211" s="112" t="s">
        <v>36</v>
      </c>
      <c r="K211" s="115">
        <v>46093.0</v>
      </c>
      <c r="L211" s="112" t="s">
        <v>36</v>
      </c>
    </row>
    <row r="212">
      <c r="A212" s="45"/>
      <c r="B212" s="69">
        <v>46093.0</v>
      </c>
      <c r="C212" s="33" t="s">
        <v>75</v>
      </c>
      <c r="D212" s="34"/>
      <c r="E212" s="33" t="s">
        <v>456</v>
      </c>
      <c r="F212" s="35" t="s">
        <v>611</v>
      </c>
      <c r="G212" s="35" t="s">
        <v>612</v>
      </c>
      <c r="H212" s="33" t="s">
        <v>199</v>
      </c>
      <c r="I212" s="33" t="s">
        <v>613</v>
      </c>
      <c r="J212" s="33" t="s">
        <v>36</v>
      </c>
      <c r="K212" s="45"/>
      <c r="L212" s="45"/>
    </row>
    <row r="213">
      <c r="A213" s="45"/>
      <c r="B213" s="69">
        <v>46093.0</v>
      </c>
      <c r="C213" s="33" t="s">
        <v>44</v>
      </c>
      <c r="D213" s="34"/>
      <c r="E213" s="33" t="s">
        <v>614</v>
      </c>
      <c r="F213" s="34"/>
      <c r="G213" s="35" t="s">
        <v>22</v>
      </c>
      <c r="H213" s="33" t="s">
        <v>46</v>
      </c>
      <c r="I213" s="33" t="s">
        <v>47</v>
      </c>
      <c r="J213" s="33" t="s">
        <v>36</v>
      </c>
      <c r="K213" s="56">
        <v>46094.0</v>
      </c>
      <c r="L213" s="33" t="s">
        <v>25</v>
      </c>
    </row>
    <row r="214">
      <c r="A214" s="45"/>
      <c r="B214" s="69">
        <v>46094.0</v>
      </c>
      <c r="C214" s="33" t="s">
        <v>149</v>
      </c>
      <c r="D214" s="34"/>
      <c r="E214" s="33" t="s">
        <v>615</v>
      </c>
      <c r="F214" s="34"/>
      <c r="G214" s="35" t="s">
        <v>22</v>
      </c>
      <c r="H214" s="33" t="s">
        <v>616</v>
      </c>
      <c r="I214" s="33" t="s">
        <v>617</v>
      </c>
      <c r="J214" s="33" t="s">
        <v>48</v>
      </c>
      <c r="K214" s="56">
        <v>46094.0</v>
      </c>
      <c r="L214" s="33" t="s">
        <v>25</v>
      </c>
    </row>
    <row r="215">
      <c r="B215" s="44">
        <v>13.0</v>
      </c>
      <c r="C215" s="33" t="s">
        <v>149</v>
      </c>
      <c r="D215" s="34"/>
      <c r="E215" s="33" t="s">
        <v>618</v>
      </c>
      <c r="F215" s="34"/>
      <c r="G215" s="35" t="s">
        <v>22</v>
      </c>
      <c r="H215" s="33" t="s">
        <v>616</v>
      </c>
      <c r="I215" s="33" t="s">
        <v>617</v>
      </c>
      <c r="J215" s="33" t="s">
        <v>48</v>
      </c>
      <c r="K215" s="56">
        <v>46094.0</v>
      </c>
      <c r="L215" s="45"/>
    </row>
    <row r="216">
      <c r="A216" s="45"/>
      <c r="B216" s="69">
        <v>46094.0</v>
      </c>
      <c r="C216" s="33" t="s">
        <v>614</v>
      </c>
      <c r="D216" s="34"/>
      <c r="E216" s="33" t="s">
        <v>44</v>
      </c>
      <c r="F216" s="34"/>
      <c r="G216" s="35" t="s">
        <v>22</v>
      </c>
      <c r="H216" s="33" t="s">
        <v>63</v>
      </c>
      <c r="I216" s="33" t="s">
        <v>619</v>
      </c>
      <c r="J216" s="33" t="s">
        <v>25</v>
      </c>
      <c r="K216" s="56">
        <v>46094.0</v>
      </c>
      <c r="L216" s="33" t="s">
        <v>25</v>
      </c>
    </row>
    <row r="217">
      <c r="A217" s="45"/>
      <c r="B217" s="69">
        <v>46095.0</v>
      </c>
      <c r="C217" s="33" t="s">
        <v>620</v>
      </c>
      <c r="D217" s="34"/>
      <c r="E217" s="33" t="s">
        <v>29</v>
      </c>
      <c r="F217" s="34"/>
      <c r="G217" s="35" t="s">
        <v>22</v>
      </c>
      <c r="H217" s="33" t="s">
        <v>353</v>
      </c>
      <c r="I217" s="33" t="s">
        <v>621</v>
      </c>
      <c r="J217" s="33" t="s">
        <v>33</v>
      </c>
      <c r="K217" s="56">
        <v>46095.0</v>
      </c>
      <c r="L217" s="33" t="s">
        <v>400</v>
      </c>
    </row>
    <row r="218">
      <c r="A218" s="45"/>
      <c r="B218" s="32">
        <v>46097.0</v>
      </c>
      <c r="C218" s="33" t="s">
        <v>465</v>
      </c>
      <c r="D218" s="34"/>
      <c r="E218" s="33" t="s">
        <v>622</v>
      </c>
      <c r="F218" s="35" t="s">
        <v>623</v>
      </c>
      <c r="G218" s="35" t="s">
        <v>22</v>
      </c>
      <c r="H218" s="33" t="s">
        <v>93</v>
      </c>
      <c r="I218" s="33" t="s">
        <v>624</v>
      </c>
      <c r="J218" s="33" t="s">
        <v>95</v>
      </c>
      <c r="K218" s="57">
        <v>46097.0</v>
      </c>
      <c r="L218" s="33" t="s">
        <v>95</v>
      </c>
    </row>
    <row r="219">
      <c r="A219" s="45"/>
      <c r="B219" s="32">
        <v>46097.0</v>
      </c>
      <c r="C219" s="33" t="s">
        <v>625</v>
      </c>
      <c r="D219" s="34"/>
      <c r="E219" s="33" t="s">
        <v>146</v>
      </c>
      <c r="F219" s="34"/>
      <c r="G219" s="35" t="s">
        <v>22</v>
      </c>
      <c r="H219" s="33" t="s">
        <v>93</v>
      </c>
      <c r="I219" s="33" t="s">
        <v>295</v>
      </c>
      <c r="J219" s="33" t="s">
        <v>95</v>
      </c>
      <c r="K219" s="57">
        <v>46097.0</v>
      </c>
      <c r="L219" s="33" t="s">
        <v>95</v>
      </c>
    </row>
    <row r="220">
      <c r="A220" s="45"/>
      <c r="B220" s="32">
        <v>46097.0</v>
      </c>
      <c r="C220" s="33" t="s">
        <v>626</v>
      </c>
      <c r="D220" s="34"/>
      <c r="E220" s="33" t="s">
        <v>146</v>
      </c>
      <c r="F220" s="34"/>
      <c r="G220" s="35" t="s">
        <v>22</v>
      </c>
      <c r="H220" s="33" t="s">
        <v>93</v>
      </c>
      <c r="I220" s="33" t="s">
        <v>627</v>
      </c>
      <c r="J220" s="33" t="s">
        <v>95</v>
      </c>
      <c r="K220" s="57">
        <v>46097.0</v>
      </c>
      <c r="L220" s="33" t="s">
        <v>95</v>
      </c>
    </row>
    <row r="221">
      <c r="A221" s="58"/>
      <c r="B221" s="156">
        <v>46098.0</v>
      </c>
      <c r="C221" s="60" t="s">
        <v>29</v>
      </c>
      <c r="D221" s="61"/>
      <c r="E221" s="60" t="s">
        <v>628</v>
      </c>
      <c r="F221" s="61"/>
      <c r="G221" s="62" t="s">
        <v>55</v>
      </c>
      <c r="H221" s="60" t="s">
        <v>42</v>
      </c>
      <c r="I221" s="60" t="s">
        <v>449</v>
      </c>
      <c r="J221" s="60" t="s">
        <v>33</v>
      </c>
      <c r="K221" s="63">
        <v>46099.0</v>
      </c>
      <c r="L221" s="60" t="s">
        <v>24</v>
      </c>
    </row>
    <row r="222">
      <c r="B222" s="69">
        <v>46098.0</v>
      </c>
      <c r="C222" s="33" t="s">
        <v>29</v>
      </c>
      <c r="D222" s="34"/>
      <c r="E222" s="33" t="s">
        <v>629</v>
      </c>
      <c r="F222" s="34"/>
      <c r="G222" s="35" t="s">
        <v>55</v>
      </c>
      <c r="H222" s="33" t="s">
        <v>42</v>
      </c>
      <c r="I222" s="33" t="s">
        <v>630</v>
      </c>
      <c r="J222" s="33" t="s">
        <v>33</v>
      </c>
      <c r="K222" s="56">
        <v>46101.0</v>
      </c>
      <c r="L222" s="33" t="s">
        <v>36</v>
      </c>
    </row>
    <row r="223">
      <c r="B223" s="69">
        <v>46099.0</v>
      </c>
      <c r="C223" s="33" t="s">
        <v>44</v>
      </c>
      <c r="D223" s="34"/>
      <c r="E223" s="33" t="s">
        <v>631</v>
      </c>
      <c r="F223" s="34"/>
      <c r="G223" s="35" t="s">
        <v>22</v>
      </c>
      <c r="H223" s="33" t="s">
        <v>135</v>
      </c>
      <c r="I223" s="33" t="s">
        <v>632</v>
      </c>
      <c r="J223" s="33" t="s">
        <v>24</v>
      </c>
      <c r="K223" s="56">
        <v>46100.0</v>
      </c>
      <c r="L223" s="33" t="s">
        <v>36</v>
      </c>
    </row>
    <row r="224">
      <c r="B224" s="69">
        <v>46099.0</v>
      </c>
      <c r="C224" s="33" t="s">
        <v>309</v>
      </c>
      <c r="D224" s="34"/>
      <c r="E224" s="33" t="s">
        <v>633</v>
      </c>
      <c r="F224" s="34"/>
      <c r="G224" s="35" t="s">
        <v>22</v>
      </c>
      <c r="H224" s="33" t="s">
        <v>135</v>
      </c>
      <c r="I224" s="33" t="s">
        <v>634</v>
      </c>
      <c r="J224" s="33" t="s">
        <v>24</v>
      </c>
      <c r="K224" s="56">
        <v>46101.0</v>
      </c>
      <c r="L224" s="33" t="s">
        <v>33</v>
      </c>
    </row>
    <row r="225">
      <c r="B225" s="69">
        <v>46099.0</v>
      </c>
      <c r="C225" s="33" t="s">
        <v>243</v>
      </c>
      <c r="D225" s="34"/>
      <c r="E225" s="33" t="s">
        <v>635</v>
      </c>
      <c r="F225" s="34"/>
      <c r="G225" s="35" t="s">
        <v>22</v>
      </c>
      <c r="H225" s="33" t="s">
        <v>636</v>
      </c>
      <c r="I225" s="33" t="s">
        <v>144</v>
      </c>
      <c r="J225" s="33" t="s">
        <v>24</v>
      </c>
      <c r="K225" s="56">
        <v>46100.0</v>
      </c>
      <c r="L225" s="33" t="s">
        <v>36</v>
      </c>
    </row>
    <row r="226">
      <c r="A226" s="45"/>
      <c r="B226" s="69">
        <v>46099.0</v>
      </c>
      <c r="C226" s="33" t="s">
        <v>637</v>
      </c>
      <c r="D226" s="34"/>
      <c r="E226" s="33" t="s">
        <v>44</v>
      </c>
      <c r="F226" s="34"/>
      <c r="G226" s="35" t="s">
        <v>22</v>
      </c>
      <c r="H226" s="33" t="s">
        <v>31</v>
      </c>
      <c r="I226" s="33" t="s">
        <v>638</v>
      </c>
      <c r="J226" s="33" t="s">
        <v>24</v>
      </c>
      <c r="K226" s="45"/>
      <c r="L226" s="33" t="s">
        <v>67</v>
      </c>
    </row>
    <row r="227">
      <c r="B227" s="69">
        <v>46100.0</v>
      </c>
      <c r="C227" s="33" t="s">
        <v>639</v>
      </c>
      <c r="D227" s="34"/>
      <c r="E227" s="33" t="s">
        <v>640</v>
      </c>
      <c r="F227" s="34"/>
      <c r="G227" s="35" t="s">
        <v>22</v>
      </c>
      <c r="H227" s="33" t="s">
        <v>106</v>
      </c>
      <c r="I227" s="33" t="s">
        <v>144</v>
      </c>
      <c r="J227" s="33" t="s">
        <v>36</v>
      </c>
      <c r="K227" s="56">
        <v>46100.0</v>
      </c>
      <c r="L227" s="33" t="s">
        <v>36</v>
      </c>
    </row>
    <row r="228">
      <c r="B228" s="69">
        <v>46100.0</v>
      </c>
      <c r="C228" s="33" t="s">
        <v>639</v>
      </c>
      <c r="D228" s="34"/>
      <c r="E228" s="33" t="s">
        <v>641</v>
      </c>
      <c r="F228" s="34"/>
      <c r="G228" s="35" t="s">
        <v>22</v>
      </c>
      <c r="H228" s="33" t="s">
        <v>106</v>
      </c>
      <c r="I228" s="33" t="s">
        <v>642</v>
      </c>
      <c r="J228" s="33" t="s">
        <v>36</v>
      </c>
      <c r="K228" s="56">
        <v>46100.0</v>
      </c>
      <c r="L228" s="33" t="s">
        <v>36</v>
      </c>
    </row>
    <row r="229">
      <c r="B229" s="69">
        <v>46100.0</v>
      </c>
      <c r="C229" s="33" t="s">
        <v>75</v>
      </c>
      <c r="D229" s="34"/>
      <c r="E229" s="33" t="s">
        <v>643</v>
      </c>
      <c r="F229" s="35" t="s">
        <v>644</v>
      </c>
      <c r="G229" s="35" t="s">
        <v>22</v>
      </c>
      <c r="H229" s="33" t="s">
        <v>68</v>
      </c>
      <c r="I229" s="33" t="s">
        <v>133</v>
      </c>
      <c r="J229" s="33" t="s">
        <v>36</v>
      </c>
      <c r="K229" s="56">
        <v>46100.0</v>
      </c>
      <c r="L229" s="33" t="s">
        <v>36</v>
      </c>
    </row>
    <row r="230">
      <c r="B230" s="69">
        <v>46100.0</v>
      </c>
      <c r="C230" s="33" t="s">
        <v>70</v>
      </c>
      <c r="D230" s="34"/>
      <c r="E230" s="33" t="s">
        <v>645</v>
      </c>
      <c r="F230" s="35" t="s">
        <v>646</v>
      </c>
      <c r="G230" s="35" t="s">
        <v>22</v>
      </c>
      <c r="H230" s="33" t="s">
        <v>81</v>
      </c>
      <c r="I230" s="33" t="s">
        <v>647</v>
      </c>
      <c r="J230" s="33" t="s">
        <v>36</v>
      </c>
      <c r="K230" s="56">
        <v>46100.0</v>
      </c>
      <c r="L230" s="33" t="s">
        <v>36</v>
      </c>
    </row>
    <row r="231">
      <c r="B231" s="69">
        <v>46100.0</v>
      </c>
      <c r="C231" s="33" t="s">
        <v>197</v>
      </c>
      <c r="D231" s="34"/>
      <c r="E231" s="33" t="s">
        <v>648</v>
      </c>
      <c r="F231" s="34"/>
      <c r="G231" s="35" t="s">
        <v>22</v>
      </c>
      <c r="H231" s="33" t="s">
        <v>68</v>
      </c>
      <c r="I231" s="33" t="s">
        <v>649</v>
      </c>
      <c r="J231" s="33" t="s">
        <v>36</v>
      </c>
      <c r="K231" s="56">
        <v>46100.0</v>
      </c>
      <c r="L231" s="33" t="s">
        <v>36</v>
      </c>
    </row>
    <row r="232">
      <c r="B232" s="69">
        <v>46100.0</v>
      </c>
      <c r="C232" s="33" t="s">
        <v>197</v>
      </c>
      <c r="D232" s="34"/>
      <c r="E232" s="33" t="s">
        <v>487</v>
      </c>
      <c r="F232" s="34"/>
      <c r="G232" s="35" t="s">
        <v>22</v>
      </c>
      <c r="H232" s="33" t="s">
        <v>68</v>
      </c>
      <c r="I232" s="33" t="s">
        <v>650</v>
      </c>
      <c r="J232" s="33" t="s">
        <v>36</v>
      </c>
      <c r="K232" s="56">
        <v>46100.0</v>
      </c>
      <c r="L232" s="33" t="s">
        <v>36</v>
      </c>
    </row>
    <row r="233">
      <c r="B233" s="69">
        <v>46101.0</v>
      </c>
      <c r="C233" s="33" t="s">
        <v>651</v>
      </c>
      <c r="D233" s="34"/>
      <c r="E233" s="33" t="s">
        <v>652</v>
      </c>
      <c r="F233" s="35" t="s">
        <v>653</v>
      </c>
      <c r="G233" s="35" t="s">
        <v>55</v>
      </c>
      <c r="H233" s="33" t="s">
        <v>183</v>
      </c>
      <c r="I233" s="33" t="s">
        <v>654</v>
      </c>
      <c r="J233" s="33" t="s">
        <v>33</v>
      </c>
      <c r="K233" s="56">
        <v>46101.0</v>
      </c>
      <c r="L233" s="33" t="s">
        <v>36</v>
      </c>
    </row>
    <row r="234">
      <c r="B234" s="69">
        <v>46101.0</v>
      </c>
      <c r="C234" s="33" t="s">
        <v>197</v>
      </c>
      <c r="D234" s="34"/>
      <c r="E234" s="33" t="s">
        <v>655</v>
      </c>
      <c r="F234" s="34"/>
      <c r="G234" s="35" t="s">
        <v>22</v>
      </c>
      <c r="H234" s="33" t="s">
        <v>68</v>
      </c>
      <c r="I234" s="33" t="s">
        <v>656</v>
      </c>
      <c r="J234" s="33" t="s">
        <v>33</v>
      </c>
      <c r="K234" s="56">
        <v>46101.0</v>
      </c>
      <c r="L234" s="33" t="s">
        <v>36</v>
      </c>
    </row>
    <row r="235">
      <c r="B235" s="69">
        <v>46101.0</v>
      </c>
      <c r="C235" s="33" t="s">
        <v>657</v>
      </c>
      <c r="D235" s="34"/>
      <c r="E235" s="33" t="s">
        <v>44</v>
      </c>
      <c r="F235" s="34"/>
      <c r="G235" s="35" t="s">
        <v>22</v>
      </c>
      <c r="H235" s="33" t="s">
        <v>191</v>
      </c>
      <c r="I235" s="33" t="s">
        <v>658</v>
      </c>
      <c r="J235" s="33" t="s">
        <v>36</v>
      </c>
      <c r="K235" s="56">
        <v>46101.0</v>
      </c>
      <c r="L235" s="33" t="s">
        <v>36</v>
      </c>
    </row>
    <row r="236">
      <c r="B236" s="163">
        <v>46104.0</v>
      </c>
      <c r="C236" s="164" t="s">
        <v>270</v>
      </c>
      <c r="D236" s="25"/>
      <c r="E236" s="164" t="s">
        <v>557</v>
      </c>
      <c r="F236" s="165" t="s">
        <v>659</v>
      </c>
      <c r="G236" s="165" t="s">
        <v>22</v>
      </c>
      <c r="H236" s="164" t="s">
        <v>93</v>
      </c>
      <c r="I236" s="164" t="s">
        <v>94</v>
      </c>
      <c r="J236" s="164" t="s">
        <v>95</v>
      </c>
      <c r="K236" s="166">
        <v>46104.0</v>
      </c>
      <c r="L236" s="167" t="s">
        <v>95</v>
      </c>
    </row>
    <row r="237">
      <c r="B237" s="163">
        <v>46104.0</v>
      </c>
      <c r="C237" s="164" t="s">
        <v>270</v>
      </c>
      <c r="D237" s="25"/>
      <c r="E237" s="164" t="s">
        <v>660</v>
      </c>
      <c r="F237" s="25" t="s">
        <v>661</v>
      </c>
      <c r="G237" s="165" t="s">
        <v>22</v>
      </c>
      <c r="H237" s="164" t="s">
        <v>135</v>
      </c>
      <c r="I237" s="164" t="s">
        <v>69</v>
      </c>
      <c r="J237" s="164" t="s">
        <v>95</v>
      </c>
      <c r="K237" s="166">
        <v>46105.0</v>
      </c>
      <c r="L237" s="167" t="s">
        <v>33</v>
      </c>
    </row>
    <row r="238">
      <c r="B238" s="163">
        <v>46104.0</v>
      </c>
      <c r="C238" s="164" t="s">
        <v>149</v>
      </c>
      <c r="D238" s="25"/>
      <c r="E238" s="164" t="s">
        <v>662</v>
      </c>
      <c r="F238" s="25"/>
      <c r="G238" s="165" t="s">
        <v>22</v>
      </c>
      <c r="H238" s="164" t="s">
        <v>31</v>
      </c>
      <c r="I238" s="164" t="s">
        <v>69</v>
      </c>
      <c r="J238" s="164" t="s">
        <v>95</v>
      </c>
      <c r="K238" s="166">
        <v>46104.0</v>
      </c>
      <c r="L238" s="167" t="s">
        <v>95</v>
      </c>
    </row>
    <row r="239">
      <c r="B239" s="163">
        <v>46104.0</v>
      </c>
      <c r="C239" s="164" t="s">
        <v>149</v>
      </c>
      <c r="D239" s="25"/>
      <c r="E239" s="164" t="s">
        <v>150</v>
      </c>
      <c r="F239" s="25"/>
      <c r="G239" s="165" t="s">
        <v>22</v>
      </c>
      <c r="H239" s="164" t="s">
        <v>31</v>
      </c>
      <c r="I239" s="164" t="s">
        <v>69</v>
      </c>
      <c r="J239" s="164" t="s">
        <v>95</v>
      </c>
      <c r="K239" s="166">
        <v>46104.0</v>
      </c>
      <c r="L239" s="167" t="s">
        <v>95</v>
      </c>
    </row>
    <row r="240">
      <c r="B240" s="163">
        <v>46104.0</v>
      </c>
      <c r="C240" s="164" t="s">
        <v>243</v>
      </c>
      <c r="D240" s="165"/>
      <c r="E240" s="164" t="s">
        <v>663</v>
      </c>
      <c r="F240" s="165"/>
      <c r="G240" s="165" t="s">
        <v>22</v>
      </c>
      <c r="H240" s="164" t="s">
        <v>100</v>
      </c>
      <c r="I240" s="164" t="s">
        <v>664</v>
      </c>
      <c r="J240" s="164" t="s">
        <v>95</v>
      </c>
      <c r="K240" s="166">
        <v>46104.0</v>
      </c>
      <c r="L240" s="167" t="s">
        <v>95</v>
      </c>
    </row>
    <row r="241">
      <c r="B241" s="163">
        <v>46104.0</v>
      </c>
      <c r="C241" s="164" t="s">
        <v>149</v>
      </c>
      <c r="D241" s="25"/>
      <c r="E241" s="164" t="s">
        <v>150</v>
      </c>
      <c r="F241" s="25"/>
      <c r="G241" s="165" t="s">
        <v>665</v>
      </c>
      <c r="H241" s="164" t="s">
        <v>31</v>
      </c>
      <c r="I241" s="164" t="s">
        <v>69</v>
      </c>
      <c r="J241" s="168" t="s">
        <v>95</v>
      </c>
      <c r="K241" s="169">
        <v>46104.0</v>
      </c>
      <c r="L241" s="167" t="s">
        <v>95</v>
      </c>
    </row>
    <row r="242">
      <c r="B242" s="163">
        <v>46105.0</v>
      </c>
      <c r="C242" s="164" t="s">
        <v>33</v>
      </c>
      <c r="D242" s="25"/>
      <c r="E242" s="164" t="s">
        <v>666</v>
      </c>
      <c r="F242" s="25" t="s">
        <v>667</v>
      </c>
      <c r="G242" s="165" t="s">
        <v>668</v>
      </c>
      <c r="H242" s="164" t="s">
        <v>68</v>
      </c>
      <c r="I242" s="167" t="s">
        <v>459</v>
      </c>
      <c r="J242" s="164" t="s">
        <v>33</v>
      </c>
      <c r="K242" s="166">
        <v>46105.0</v>
      </c>
      <c r="L242" s="167" t="s">
        <v>33</v>
      </c>
    </row>
    <row r="243">
      <c r="B243" s="163">
        <v>46105.0</v>
      </c>
      <c r="C243" s="164" t="s">
        <v>40</v>
      </c>
      <c r="D243" s="25"/>
      <c r="E243" s="164" t="s">
        <v>669</v>
      </c>
      <c r="F243" s="25"/>
      <c r="G243" s="165" t="s">
        <v>341</v>
      </c>
      <c r="H243" s="164" t="s">
        <v>180</v>
      </c>
      <c r="I243" s="164" t="s">
        <v>670</v>
      </c>
      <c r="J243" s="164" t="s">
        <v>33</v>
      </c>
      <c r="K243" s="170">
        <v>46106.0</v>
      </c>
      <c r="L243" s="167" t="s">
        <v>24</v>
      </c>
    </row>
    <row r="244">
      <c r="B244" s="163">
        <v>46105.0</v>
      </c>
      <c r="C244" s="164" t="s">
        <v>70</v>
      </c>
      <c r="D244" s="25"/>
      <c r="E244" s="164" t="s">
        <v>671</v>
      </c>
      <c r="F244" s="25" t="s">
        <v>672</v>
      </c>
      <c r="G244" s="165" t="s">
        <v>55</v>
      </c>
      <c r="H244" s="164" t="s">
        <v>106</v>
      </c>
      <c r="I244" s="164" t="s">
        <v>673</v>
      </c>
      <c r="J244" s="164" t="s">
        <v>33</v>
      </c>
      <c r="K244" s="166">
        <v>46105.0</v>
      </c>
      <c r="L244" s="167" t="s">
        <v>33</v>
      </c>
    </row>
    <row r="245" ht="15.0" customHeight="1">
      <c r="A245" s="80"/>
      <c r="B245" s="81">
        <v>46101.0</v>
      </c>
      <c r="C245" s="82" t="s">
        <v>197</v>
      </c>
      <c r="D245" s="83"/>
      <c r="E245" s="82" t="s">
        <v>674</v>
      </c>
      <c r="F245" s="83"/>
      <c r="G245" s="84" t="s">
        <v>22</v>
      </c>
      <c r="H245" s="82" t="s">
        <v>42</v>
      </c>
      <c r="I245" s="82" t="s">
        <v>587</v>
      </c>
      <c r="J245" s="82" t="s">
        <v>33</v>
      </c>
      <c r="K245" s="98">
        <v>46105.0</v>
      </c>
      <c r="L245" s="80" t="s">
        <v>33</v>
      </c>
      <c r="M245" s="155"/>
      <c r="N245" s="155"/>
      <c r="O245" s="155"/>
      <c r="P245" s="155"/>
      <c r="Q245" s="155"/>
      <c r="R245" s="155"/>
      <c r="S245" s="155"/>
      <c r="T245" s="155"/>
      <c r="U245" s="155"/>
      <c r="V245" s="155"/>
      <c r="W245" s="155"/>
      <c r="X245" s="155"/>
      <c r="Y245" s="155"/>
      <c r="Z245" s="155"/>
      <c r="AA245" s="155"/>
      <c r="AB245" s="155"/>
    </row>
    <row r="246">
      <c r="A246" s="80"/>
      <c r="B246" s="81">
        <v>46102.0</v>
      </c>
      <c r="C246" s="82" t="s">
        <v>75</v>
      </c>
      <c r="D246" s="83"/>
      <c r="E246" s="82" t="s">
        <v>675</v>
      </c>
      <c r="F246" s="83"/>
      <c r="G246" s="84" t="s">
        <v>22</v>
      </c>
      <c r="H246" s="82" t="s">
        <v>183</v>
      </c>
      <c r="I246" s="82" t="s">
        <v>676</v>
      </c>
      <c r="J246" s="80" t="s">
        <v>36</v>
      </c>
      <c r="K246" s="98">
        <v>46105.0</v>
      </c>
      <c r="L246" s="80" t="s">
        <v>33</v>
      </c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  <c r="AA246" s="80"/>
      <c r="AB246" s="80"/>
    </row>
    <row r="247">
      <c r="A247" s="151"/>
      <c r="B247" s="171">
        <v>45957.0</v>
      </c>
      <c r="C247" s="146" t="s">
        <v>146</v>
      </c>
      <c r="D247" s="147"/>
      <c r="E247" s="146" t="s">
        <v>677</v>
      </c>
      <c r="F247" s="147"/>
      <c r="G247" s="148" t="s">
        <v>22</v>
      </c>
      <c r="H247" s="146"/>
      <c r="I247" s="146" t="s">
        <v>678</v>
      </c>
      <c r="J247" s="151" t="s">
        <v>95</v>
      </c>
      <c r="K247" s="149"/>
      <c r="L247" s="147"/>
      <c r="M247" s="155"/>
      <c r="N247" s="155"/>
      <c r="O247" s="155"/>
      <c r="P247" s="155"/>
      <c r="Q247" s="155"/>
      <c r="R247" s="155"/>
      <c r="S247" s="155"/>
      <c r="T247" s="155"/>
      <c r="U247" s="155"/>
      <c r="V247" s="155"/>
      <c r="W247" s="155"/>
      <c r="X247" s="155"/>
      <c r="Y247" s="155"/>
      <c r="Z247" s="155"/>
      <c r="AA247" s="155"/>
      <c r="AB247" s="155"/>
    </row>
    <row r="248">
      <c r="A248" s="151"/>
      <c r="B248" s="172">
        <v>46009.0</v>
      </c>
      <c r="C248" s="146" t="s">
        <v>44</v>
      </c>
      <c r="D248" s="147"/>
      <c r="E248" s="146" t="s">
        <v>679</v>
      </c>
      <c r="F248" s="147"/>
      <c r="G248" s="148" t="s">
        <v>22</v>
      </c>
      <c r="H248" s="146" t="s">
        <v>680</v>
      </c>
      <c r="I248" s="146" t="s">
        <v>101</v>
      </c>
      <c r="J248" s="146" t="s">
        <v>24</v>
      </c>
      <c r="K248" s="173"/>
      <c r="L248" s="147"/>
      <c r="M248" s="174"/>
      <c r="N248" s="174"/>
      <c r="O248" s="174"/>
      <c r="P248" s="174"/>
      <c r="Q248" s="174"/>
      <c r="R248" s="174"/>
      <c r="S248" s="174"/>
      <c r="T248" s="174"/>
      <c r="U248" s="174"/>
      <c r="V248" s="174"/>
      <c r="W248" s="174"/>
      <c r="X248" s="174"/>
      <c r="Y248" s="174"/>
      <c r="Z248" s="174"/>
      <c r="AA248" s="174"/>
      <c r="AB248" s="174"/>
    </row>
    <row r="249">
      <c r="A249" s="80"/>
      <c r="B249" s="81">
        <v>46093.0</v>
      </c>
      <c r="C249" s="82" t="s">
        <v>44</v>
      </c>
      <c r="D249" s="83"/>
      <c r="E249" s="82" t="s">
        <v>596</v>
      </c>
      <c r="F249" s="83"/>
      <c r="G249" s="84" t="s">
        <v>22</v>
      </c>
      <c r="H249" s="82" t="s">
        <v>46</v>
      </c>
      <c r="I249" s="82" t="s">
        <v>47</v>
      </c>
      <c r="J249" s="82" t="s">
        <v>36</v>
      </c>
      <c r="K249" s="98">
        <v>46105.0</v>
      </c>
      <c r="L249" s="80" t="s">
        <v>33</v>
      </c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  <c r="AA249" s="80"/>
      <c r="AB249" s="80"/>
    </row>
    <row r="250">
      <c r="A250" s="80"/>
      <c r="B250" s="101">
        <v>45902.0</v>
      </c>
      <c r="C250" s="82" t="s">
        <v>40</v>
      </c>
      <c r="D250" s="83"/>
      <c r="E250" s="82" t="s">
        <v>681</v>
      </c>
      <c r="F250" s="83"/>
      <c r="G250" s="84" t="s">
        <v>22</v>
      </c>
      <c r="H250" s="82" t="s">
        <v>183</v>
      </c>
      <c r="I250" s="82" t="s">
        <v>539</v>
      </c>
      <c r="J250" s="82" t="s">
        <v>33</v>
      </c>
      <c r="K250" s="175" t="s">
        <v>682</v>
      </c>
      <c r="L250" s="83" t="s">
        <v>95</v>
      </c>
      <c r="M250" s="155"/>
      <c r="N250" s="155"/>
      <c r="O250" s="155"/>
      <c r="P250" s="155"/>
      <c r="Q250" s="155"/>
      <c r="R250" s="155"/>
      <c r="S250" s="155"/>
      <c r="T250" s="155"/>
      <c r="U250" s="155"/>
      <c r="V250" s="155"/>
      <c r="W250" s="155"/>
      <c r="X250" s="155"/>
      <c r="Y250" s="155"/>
      <c r="Z250" s="155"/>
      <c r="AA250" s="155"/>
      <c r="AB250" s="155"/>
    </row>
    <row r="251">
      <c r="A251" s="151"/>
      <c r="B251" s="154">
        <v>45931.0</v>
      </c>
      <c r="C251" s="146" t="s">
        <v>44</v>
      </c>
      <c r="D251" s="147"/>
      <c r="E251" s="146" t="s">
        <v>683</v>
      </c>
      <c r="F251" s="148"/>
      <c r="G251" s="148" t="s">
        <v>22</v>
      </c>
      <c r="H251" s="146"/>
      <c r="I251" s="146" t="s">
        <v>684</v>
      </c>
      <c r="J251" s="146" t="s">
        <v>24</v>
      </c>
      <c r="K251" s="149"/>
      <c r="L251" s="147"/>
      <c r="M251" s="155"/>
      <c r="N251" s="155"/>
      <c r="O251" s="155"/>
      <c r="P251" s="155"/>
      <c r="Q251" s="155"/>
      <c r="R251" s="155"/>
      <c r="S251" s="155"/>
      <c r="T251" s="155"/>
      <c r="U251" s="155"/>
      <c r="V251" s="155"/>
      <c r="W251" s="155"/>
      <c r="X251" s="155"/>
      <c r="Y251" s="155"/>
      <c r="Z251" s="155"/>
      <c r="AA251" s="155"/>
      <c r="AB251" s="155"/>
    </row>
    <row r="252">
      <c r="A252" s="151"/>
      <c r="B252" s="172">
        <v>46009.0</v>
      </c>
      <c r="C252" s="146" t="s">
        <v>44</v>
      </c>
      <c r="D252" s="147"/>
      <c r="E252" s="146" t="s">
        <v>679</v>
      </c>
      <c r="F252" s="147"/>
      <c r="G252" s="148" t="s">
        <v>22</v>
      </c>
      <c r="H252" s="146" t="s">
        <v>680</v>
      </c>
      <c r="I252" s="146" t="s">
        <v>101</v>
      </c>
      <c r="J252" s="146" t="s">
        <v>24</v>
      </c>
      <c r="K252" s="173"/>
      <c r="L252" s="147"/>
      <c r="M252" s="174"/>
      <c r="N252" s="174"/>
      <c r="O252" s="174"/>
      <c r="P252" s="174"/>
      <c r="Q252" s="174"/>
      <c r="R252" s="174"/>
      <c r="S252" s="174"/>
      <c r="T252" s="174"/>
      <c r="U252" s="174"/>
      <c r="V252" s="174"/>
      <c r="W252" s="174"/>
      <c r="X252" s="174"/>
      <c r="Y252" s="174"/>
      <c r="Z252" s="174"/>
      <c r="AA252" s="174"/>
      <c r="AB252" s="174"/>
    </row>
    <row r="253">
      <c r="B253" s="76">
        <v>46104.0</v>
      </c>
      <c r="C253" s="33" t="s">
        <v>65</v>
      </c>
      <c r="D253" s="34"/>
      <c r="E253" s="33" t="s">
        <v>685</v>
      </c>
      <c r="F253" s="34"/>
      <c r="G253" s="35" t="s">
        <v>22</v>
      </c>
      <c r="H253" s="33" t="s">
        <v>156</v>
      </c>
      <c r="I253" s="33" t="s">
        <v>203</v>
      </c>
      <c r="J253" s="33" t="s">
        <v>95</v>
      </c>
      <c r="K253" s="56">
        <v>46107.0</v>
      </c>
      <c r="L253" s="33" t="s">
        <v>36</v>
      </c>
    </row>
    <row r="254">
      <c r="B254" s="76">
        <v>46105.0</v>
      </c>
      <c r="C254" s="33" t="s">
        <v>60</v>
      </c>
      <c r="D254" s="35">
        <v>9.39418042E8</v>
      </c>
      <c r="E254" s="33" t="s">
        <v>686</v>
      </c>
      <c r="F254" s="35">
        <v>9.63920476E8</v>
      </c>
      <c r="G254" s="35" t="s">
        <v>80</v>
      </c>
      <c r="H254" s="33" t="s">
        <v>199</v>
      </c>
      <c r="I254" s="33" t="s">
        <v>687</v>
      </c>
      <c r="J254" s="33" t="s">
        <v>33</v>
      </c>
      <c r="K254" s="56">
        <v>46108.0</v>
      </c>
      <c r="L254" s="33" t="s">
        <v>48</v>
      </c>
    </row>
    <row r="255">
      <c r="A255" s="58"/>
      <c r="B255" s="77">
        <v>46105.0</v>
      </c>
      <c r="C255" s="60" t="s">
        <v>452</v>
      </c>
      <c r="D255" s="61"/>
      <c r="E255" s="60" t="s">
        <v>688</v>
      </c>
      <c r="F255" s="61"/>
      <c r="G255" s="62" t="s">
        <v>55</v>
      </c>
      <c r="H255" s="60" t="s">
        <v>42</v>
      </c>
      <c r="I255" s="60" t="s">
        <v>689</v>
      </c>
      <c r="J255" s="60" t="s">
        <v>33</v>
      </c>
      <c r="K255" s="63">
        <v>46106.0</v>
      </c>
      <c r="L255" s="60" t="s">
        <v>24</v>
      </c>
    </row>
    <row r="256">
      <c r="A256" s="58"/>
      <c r="B256" s="77">
        <v>46106.0</v>
      </c>
      <c r="C256" s="60" t="s">
        <v>243</v>
      </c>
      <c r="D256" s="61"/>
      <c r="E256" s="60" t="s">
        <v>690</v>
      </c>
      <c r="F256" s="61"/>
      <c r="G256" s="62" t="s">
        <v>22</v>
      </c>
      <c r="H256" s="60" t="s">
        <v>31</v>
      </c>
      <c r="I256" s="60" t="s">
        <v>676</v>
      </c>
      <c r="J256" s="60" t="s">
        <v>24</v>
      </c>
      <c r="K256" s="63">
        <v>46106.0</v>
      </c>
      <c r="L256" s="60" t="s">
        <v>24</v>
      </c>
    </row>
    <row r="257">
      <c r="A257" s="58"/>
      <c r="B257" s="77">
        <v>46105.0</v>
      </c>
      <c r="C257" s="60" t="s">
        <v>243</v>
      </c>
      <c r="D257" s="61"/>
      <c r="E257" s="60" t="s">
        <v>691</v>
      </c>
      <c r="F257" s="62" t="s">
        <v>692</v>
      </c>
      <c r="G257" s="62" t="s">
        <v>22</v>
      </c>
      <c r="H257" s="60" t="s">
        <v>31</v>
      </c>
      <c r="I257" s="60" t="s">
        <v>676</v>
      </c>
      <c r="J257" s="60" t="s">
        <v>24</v>
      </c>
      <c r="K257" s="63">
        <v>46106.0</v>
      </c>
      <c r="L257" s="60" t="s">
        <v>24</v>
      </c>
    </row>
    <row r="258">
      <c r="B258" s="69">
        <v>46107.0</v>
      </c>
      <c r="C258" s="33" t="s">
        <v>75</v>
      </c>
      <c r="D258" s="34"/>
      <c r="E258" s="33" t="s">
        <v>693</v>
      </c>
      <c r="F258" s="34"/>
      <c r="G258" s="35" t="s">
        <v>22</v>
      </c>
      <c r="H258" s="33" t="s">
        <v>63</v>
      </c>
      <c r="I258" s="33" t="s">
        <v>133</v>
      </c>
      <c r="J258" s="33" t="s">
        <v>36</v>
      </c>
      <c r="K258" s="56">
        <v>46107.0</v>
      </c>
      <c r="L258" s="33" t="s">
        <v>36</v>
      </c>
    </row>
    <row r="259">
      <c r="B259" s="69">
        <v>46107.0</v>
      </c>
      <c r="C259" s="33" t="s">
        <v>75</v>
      </c>
      <c r="D259" s="34"/>
      <c r="E259" s="33" t="s">
        <v>694</v>
      </c>
      <c r="F259" s="34"/>
      <c r="G259" s="35" t="s">
        <v>22</v>
      </c>
      <c r="H259" s="33" t="s">
        <v>46</v>
      </c>
      <c r="I259" s="33" t="s">
        <v>695</v>
      </c>
      <c r="J259" s="33" t="s">
        <v>36</v>
      </c>
      <c r="K259" s="56">
        <v>46108.0</v>
      </c>
      <c r="L259" s="33" t="s">
        <v>48</v>
      </c>
    </row>
    <row r="260">
      <c r="B260" s="69">
        <v>46107.0</v>
      </c>
      <c r="C260" s="33" t="s">
        <v>90</v>
      </c>
      <c r="D260" s="34"/>
      <c r="E260" s="33" t="s">
        <v>696</v>
      </c>
      <c r="F260" s="34"/>
      <c r="G260" s="35" t="s">
        <v>22</v>
      </c>
      <c r="H260" s="33" t="s">
        <v>697</v>
      </c>
      <c r="I260" s="33" t="s">
        <v>698</v>
      </c>
      <c r="J260" s="33" t="s">
        <v>36</v>
      </c>
      <c r="K260" s="56">
        <v>46107.0</v>
      </c>
      <c r="L260" s="33" t="s">
        <v>36</v>
      </c>
    </row>
    <row r="261">
      <c r="B261" s="69">
        <v>46107.0</v>
      </c>
      <c r="C261" s="33" t="s">
        <v>452</v>
      </c>
      <c r="D261" s="34"/>
      <c r="E261" s="33" t="s">
        <v>699</v>
      </c>
      <c r="F261" s="34"/>
      <c r="G261" s="35" t="s">
        <v>22</v>
      </c>
      <c r="H261" s="33" t="s">
        <v>68</v>
      </c>
      <c r="I261" s="33" t="s">
        <v>700</v>
      </c>
      <c r="J261" s="33" t="s">
        <v>36</v>
      </c>
      <c r="K261" s="56">
        <v>46108.0</v>
      </c>
      <c r="L261" s="33" t="s">
        <v>48</v>
      </c>
    </row>
    <row r="262">
      <c r="B262" s="69">
        <v>46107.0</v>
      </c>
      <c r="C262" s="33" t="s">
        <v>151</v>
      </c>
      <c r="D262" s="34"/>
      <c r="E262" s="33" t="s">
        <v>44</v>
      </c>
      <c r="F262" s="34"/>
      <c r="G262" s="35" t="s">
        <v>22</v>
      </c>
      <c r="H262" s="33" t="s">
        <v>68</v>
      </c>
      <c r="I262" s="33" t="s">
        <v>701</v>
      </c>
      <c r="J262" s="33" t="s">
        <v>36</v>
      </c>
      <c r="K262" s="45"/>
      <c r="L262" s="45"/>
    </row>
    <row r="263">
      <c r="A263" s="45"/>
      <c r="B263" s="69">
        <v>46108.0</v>
      </c>
      <c r="C263" s="33" t="s">
        <v>702</v>
      </c>
      <c r="D263" s="34"/>
      <c r="E263" s="33" t="s">
        <v>104</v>
      </c>
      <c r="F263" s="34"/>
      <c r="G263" s="35" t="s">
        <v>22</v>
      </c>
      <c r="H263" s="33" t="s">
        <v>180</v>
      </c>
      <c r="I263" s="33" t="s">
        <v>617</v>
      </c>
      <c r="J263" s="33" t="s">
        <v>48</v>
      </c>
      <c r="K263" s="56">
        <v>46108.0</v>
      </c>
      <c r="L263" s="33" t="s">
        <v>25</v>
      </c>
    </row>
    <row r="264">
      <c r="A264" s="45"/>
      <c r="B264" s="69">
        <v>46108.0</v>
      </c>
      <c r="C264" s="33" t="s">
        <v>702</v>
      </c>
      <c r="D264" s="34"/>
      <c r="E264" s="33" t="s">
        <v>703</v>
      </c>
      <c r="F264" s="34"/>
      <c r="G264" s="35" t="s">
        <v>22</v>
      </c>
      <c r="H264" s="33" t="s">
        <v>180</v>
      </c>
      <c r="I264" s="33" t="s">
        <v>704</v>
      </c>
      <c r="J264" s="33" t="s">
        <v>48</v>
      </c>
      <c r="K264" s="56">
        <v>46108.0</v>
      </c>
      <c r="L264" s="33" t="s">
        <v>25</v>
      </c>
    </row>
    <row r="265">
      <c r="A265" s="45"/>
      <c r="B265" s="69">
        <v>46108.0</v>
      </c>
      <c r="C265" s="33" t="s">
        <v>705</v>
      </c>
      <c r="D265" s="34"/>
      <c r="E265" s="33" t="s">
        <v>44</v>
      </c>
      <c r="F265" s="34"/>
      <c r="G265" s="35" t="s">
        <v>85</v>
      </c>
      <c r="H265" s="33" t="s">
        <v>81</v>
      </c>
      <c r="I265" s="33" t="s">
        <v>706</v>
      </c>
      <c r="J265" s="33" t="s">
        <v>48</v>
      </c>
      <c r="K265" s="45"/>
      <c r="L265" s="45"/>
    </row>
    <row r="266">
      <c r="A266" s="45"/>
      <c r="B266" s="69">
        <v>46108.0</v>
      </c>
      <c r="C266" s="33" t="s">
        <v>707</v>
      </c>
      <c r="D266" s="34"/>
      <c r="E266" s="33" t="s">
        <v>708</v>
      </c>
      <c r="F266" s="35">
        <v>1.95325596E8</v>
      </c>
      <c r="G266" s="34"/>
      <c r="H266" s="33" t="s">
        <v>180</v>
      </c>
      <c r="I266" s="33" t="s">
        <v>709</v>
      </c>
      <c r="J266" s="33" t="s">
        <v>48</v>
      </c>
      <c r="K266" s="56">
        <v>46108.0</v>
      </c>
      <c r="L266" s="33" t="s">
        <v>48</v>
      </c>
    </row>
    <row r="267">
      <c r="B267" s="69">
        <v>46109.0</v>
      </c>
      <c r="C267" s="33" t="s">
        <v>710</v>
      </c>
      <c r="D267" s="34"/>
      <c r="E267" s="33" t="s">
        <v>711</v>
      </c>
      <c r="F267" s="35" t="s">
        <v>712</v>
      </c>
      <c r="G267" s="35" t="s">
        <v>713</v>
      </c>
      <c r="H267" s="33" t="s">
        <v>122</v>
      </c>
      <c r="I267" s="45"/>
      <c r="J267" s="33" t="s">
        <v>25</v>
      </c>
      <c r="K267" s="36">
        <v>46111.0</v>
      </c>
      <c r="L267" s="33" t="s">
        <v>95</v>
      </c>
    </row>
    <row r="268">
      <c r="B268" s="32">
        <v>46111.0</v>
      </c>
      <c r="C268" s="33" t="s">
        <v>90</v>
      </c>
      <c r="D268" s="34"/>
      <c r="E268" s="33" t="s">
        <v>714</v>
      </c>
      <c r="F268" s="35" t="s">
        <v>715</v>
      </c>
      <c r="G268" s="35" t="s">
        <v>22</v>
      </c>
      <c r="H268" s="33" t="s">
        <v>93</v>
      </c>
      <c r="I268" s="33" t="s">
        <v>94</v>
      </c>
      <c r="J268" s="33" t="s">
        <v>95</v>
      </c>
      <c r="K268" s="36">
        <v>46111.0</v>
      </c>
      <c r="L268" s="33" t="s">
        <v>95</v>
      </c>
    </row>
    <row r="269">
      <c r="B269" s="32">
        <v>46111.0</v>
      </c>
      <c r="C269" s="33" t="s">
        <v>90</v>
      </c>
      <c r="D269" s="34"/>
      <c r="E269" s="33" t="s">
        <v>716</v>
      </c>
      <c r="F269" s="35" t="s">
        <v>717</v>
      </c>
      <c r="G269" s="35" t="s">
        <v>22</v>
      </c>
      <c r="H269" s="33" t="s">
        <v>93</v>
      </c>
      <c r="I269" s="33" t="s">
        <v>94</v>
      </c>
      <c r="J269" s="33" t="s">
        <v>95</v>
      </c>
      <c r="K269" s="36">
        <v>46111.0</v>
      </c>
      <c r="L269" s="33" t="s">
        <v>95</v>
      </c>
    </row>
    <row r="270">
      <c r="B270" s="32">
        <v>46111.0</v>
      </c>
      <c r="C270" s="33" t="s">
        <v>90</v>
      </c>
      <c r="D270" s="34"/>
      <c r="E270" s="33" t="s">
        <v>718</v>
      </c>
      <c r="F270" s="35" t="s">
        <v>719</v>
      </c>
      <c r="G270" s="35" t="s">
        <v>22</v>
      </c>
      <c r="H270" s="33" t="s">
        <v>720</v>
      </c>
      <c r="I270" s="33" t="s">
        <v>101</v>
      </c>
      <c r="J270" s="33" t="s">
        <v>95</v>
      </c>
      <c r="K270" s="36">
        <v>46111.0</v>
      </c>
      <c r="L270" s="33" t="s">
        <v>95</v>
      </c>
    </row>
    <row r="271">
      <c r="B271" s="32">
        <v>46111.0</v>
      </c>
      <c r="C271" s="33" t="s">
        <v>90</v>
      </c>
      <c r="D271" s="34"/>
      <c r="E271" s="33" t="s">
        <v>721</v>
      </c>
      <c r="F271" s="34"/>
      <c r="G271" s="35" t="s">
        <v>22</v>
      </c>
      <c r="H271" s="33" t="s">
        <v>720</v>
      </c>
      <c r="I271" s="33" t="s">
        <v>101</v>
      </c>
      <c r="J271" s="33" t="s">
        <v>95</v>
      </c>
      <c r="K271" s="36">
        <v>46111.0</v>
      </c>
      <c r="L271" s="33" t="s">
        <v>138</v>
      </c>
    </row>
    <row r="272">
      <c r="B272" s="32">
        <v>46111.0</v>
      </c>
      <c r="C272" s="33" t="s">
        <v>90</v>
      </c>
      <c r="D272" s="34"/>
      <c r="E272" s="33" t="s">
        <v>722</v>
      </c>
      <c r="F272" s="35" t="s">
        <v>723</v>
      </c>
      <c r="G272" s="35" t="s">
        <v>22</v>
      </c>
      <c r="H272" s="33" t="s">
        <v>31</v>
      </c>
      <c r="I272" s="33" t="s">
        <v>110</v>
      </c>
      <c r="J272" s="33" t="s">
        <v>95</v>
      </c>
      <c r="K272" s="36">
        <v>46111.0</v>
      </c>
      <c r="L272" s="33" t="s">
        <v>95</v>
      </c>
    </row>
    <row r="273">
      <c r="B273" s="32">
        <v>46111.0</v>
      </c>
      <c r="C273" s="33" t="s">
        <v>90</v>
      </c>
      <c r="D273" s="34"/>
      <c r="E273" s="33" t="s">
        <v>724</v>
      </c>
      <c r="F273" s="35" t="s">
        <v>725</v>
      </c>
      <c r="G273" s="35" t="s">
        <v>22</v>
      </c>
      <c r="H273" s="33" t="s">
        <v>135</v>
      </c>
      <c r="I273" s="33" t="s">
        <v>94</v>
      </c>
      <c r="J273" s="33" t="s">
        <v>95</v>
      </c>
      <c r="K273" s="36">
        <v>46111.0</v>
      </c>
      <c r="L273" s="33" t="s">
        <v>138</v>
      </c>
    </row>
    <row r="274">
      <c r="B274" s="32">
        <v>46111.0</v>
      </c>
      <c r="C274" s="33" t="s">
        <v>90</v>
      </c>
      <c r="D274" s="34"/>
      <c r="E274" s="33" t="s">
        <v>726</v>
      </c>
      <c r="F274" s="35" t="s">
        <v>727</v>
      </c>
      <c r="G274" s="35" t="s">
        <v>22</v>
      </c>
      <c r="H274" s="33" t="s">
        <v>156</v>
      </c>
      <c r="I274" s="33" t="s">
        <v>110</v>
      </c>
      <c r="J274" s="33" t="s">
        <v>95</v>
      </c>
      <c r="K274" s="36">
        <v>46111.0</v>
      </c>
      <c r="L274" s="33" t="s">
        <v>95</v>
      </c>
    </row>
    <row r="275">
      <c r="B275" s="32">
        <v>46111.0</v>
      </c>
      <c r="C275" s="33" t="s">
        <v>90</v>
      </c>
      <c r="D275" s="34"/>
      <c r="E275" s="33" t="s">
        <v>728</v>
      </c>
      <c r="F275" s="35" t="s">
        <v>729</v>
      </c>
      <c r="G275" s="35" t="s">
        <v>22</v>
      </c>
      <c r="H275" s="33" t="s">
        <v>128</v>
      </c>
      <c r="I275" s="33" t="s">
        <v>730</v>
      </c>
      <c r="J275" s="33" t="s">
        <v>95</v>
      </c>
      <c r="K275" s="36">
        <v>46111.0</v>
      </c>
      <c r="L275" s="33" t="s">
        <v>95</v>
      </c>
    </row>
    <row r="276" ht="15.0" customHeight="1">
      <c r="B276" s="32">
        <v>46111.0</v>
      </c>
      <c r="C276" s="33" t="s">
        <v>90</v>
      </c>
      <c r="D276" s="34"/>
      <c r="E276" s="33" t="s">
        <v>731</v>
      </c>
      <c r="F276" s="35" t="s">
        <v>732</v>
      </c>
      <c r="G276" s="35" t="s">
        <v>22</v>
      </c>
      <c r="H276" s="33" t="s">
        <v>156</v>
      </c>
      <c r="I276" s="33" t="s">
        <v>730</v>
      </c>
      <c r="J276" s="33" t="s">
        <v>95</v>
      </c>
      <c r="K276" s="36">
        <v>46111.0</v>
      </c>
      <c r="L276" s="33" t="s">
        <v>95</v>
      </c>
    </row>
    <row r="277">
      <c r="B277" s="32">
        <v>46111.0</v>
      </c>
      <c r="C277" s="33" t="s">
        <v>90</v>
      </c>
      <c r="D277" s="34"/>
      <c r="E277" s="33" t="s">
        <v>733</v>
      </c>
      <c r="F277" s="35" t="s">
        <v>734</v>
      </c>
      <c r="G277" s="35" t="s">
        <v>22</v>
      </c>
      <c r="H277" s="33" t="s">
        <v>720</v>
      </c>
      <c r="I277" s="33" t="s">
        <v>101</v>
      </c>
      <c r="J277" s="33" t="s">
        <v>95</v>
      </c>
      <c r="K277" s="36">
        <v>46111.0</v>
      </c>
      <c r="L277" s="33" t="s">
        <v>95</v>
      </c>
      <c r="M277" s="1" t="s">
        <v>735</v>
      </c>
    </row>
    <row r="278">
      <c r="A278" s="110"/>
      <c r="B278" s="176">
        <v>46111.0</v>
      </c>
      <c r="C278" s="112" t="s">
        <v>90</v>
      </c>
      <c r="D278" s="114"/>
      <c r="E278" s="112" t="s">
        <v>736</v>
      </c>
      <c r="F278" s="113" t="s">
        <v>737</v>
      </c>
      <c r="G278" s="113" t="s">
        <v>22</v>
      </c>
      <c r="H278" s="112" t="s">
        <v>156</v>
      </c>
      <c r="I278" s="112" t="s">
        <v>101</v>
      </c>
      <c r="J278" s="112" t="s">
        <v>95</v>
      </c>
      <c r="K278" s="115">
        <v>46112.0</v>
      </c>
      <c r="L278" s="112" t="s">
        <v>33</v>
      </c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  <c r="AA278" s="110"/>
      <c r="AB278" s="110"/>
    </row>
    <row r="279">
      <c r="A279" s="110"/>
      <c r="B279" s="176">
        <v>46111.0</v>
      </c>
      <c r="C279" s="112" t="s">
        <v>90</v>
      </c>
      <c r="D279" s="114"/>
      <c r="E279" s="112" t="s">
        <v>738</v>
      </c>
      <c r="F279" s="113" t="s">
        <v>739</v>
      </c>
      <c r="G279" s="113" t="s">
        <v>22</v>
      </c>
      <c r="H279" s="112" t="s">
        <v>100</v>
      </c>
      <c r="I279" s="112" t="s">
        <v>101</v>
      </c>
      <c r="J279" s="112" t="s">
        <v>95</v>
      </c>
      <c r="K279" s="115">
        <v>46112.0</v>
      </c>
      <c r="L279" s="112" t="s">
        <v>33</v>
      </c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  <c r="AA279" s="110"/>
      <c r="AB279" s="110"/>
    </row>
    <row r="280">
      <c r="A280" s="110"/>
      <c r="B280" s="176">
        <v>46111.0</v>
      </c>
      <c r="C280" s="112" t="s">
        <v>90</v>
      </c>
      <c r="D280" s="114"/>
      <c r="E280" s="112" t="s">
        <v>740</v>
      </c>
      <c r="F280" s="113" t="s">
        <v>741</v>
      </c>
      <c r="G280" s="113" t="s">
        <v>22</v>
      </c>
      <c r="H280" s="112" t="s">
        <v>128</v>
      </c>
      <c r="I280" s="112" t="s">
        <v>101</v>
      </c>
      <c r="J280" s="112" t="s">
        <v>95</v>
      </c>
      <c r="K280" s="115">
        <v>46112.0</v>
      </c>
      <c r="L280" s="112" t="s">
        <v>33</v>
      </c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  <c r="AA280" s="110"/>
      <c r="AB280" s="110"/>
    </row>
    <row r="281">
      <c r="A281" s="110"/>
      <c r="B281" s="176">
        <v>46111.0</v>
      </c>
      <c r="C281" s="112" t="s">
        <v>90</v>
      </c>
      <c r="D281" s="114"/>
      <c r="E281" s="112" t="s">
        <v>742</v>
      </c>
      <c r="F281" s="113" t="s">
        <v>743</v>
      </c>
      <c r="G281" s="113" t="s">
        <v>22</v>
      </c>
      <c r="H281" s="112" t="s">
        <v>398</v>
      </c>
      <c r="I281" s="112" t="s">
        <v>101</v>
      </c>
      <c r="J281" s="112" t="s">
        <v>95</v>
      </c>
      <c r="K281" s="115">
        <v>46112.0</v>
      </c>
      <c r="L281" s="112" t="s">
        <v>33</v>
      </c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  <c r="AA281" s="110"/>
      <c r="AB281" s="110"/>
    </row>
    <row r="282">
      <c r="A282" s="110"/>
      <c r="B282" s="176">
        <v>46111.0</v>
      </c>
      <c r="C282" s="112" t="s">
        <v>90</v>
      </c>
      <c r="D282" s="114"/>
      <c r="E282" s="112" t="s">
        <v>744</v>
      </c>
      <c r="F282" s="113" t="s">
        <v>745</v>
      </c>
      <c r="G282" s="113" t="s">
        <v>22</v>
      </c>
      <c r="H282" s="112" t="s">
        <v>135</v>
      </c>
      <c r="I282" s="112" t="s">
        <v>110</v>
      </c>
      <c r="J282" s="112" t="s">
        <v>95</v>
      </c>
      <c r="K282" s="115">
        <v>46112.0</v>
      </c>
      <c r="L282" s="112" t="s">
        <v>33</v>
      </c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  <c r="AA282" s="110"/>
      <c r="AB282" s="110"/>
    </row>
    <row r="283">
      <c r="A283" s="110"/>
      <c r="B283" s="176">
        <v>46111.0</v>
      </c>
      <c r="C283" s="112" t="s">
        <v>90</v>
      </c>
      <c r="D283" s="114"/>
      <c r="E283" s="112" t="s">
        <v>746</v>
      </c>
      <c r="F283" s="113" t="s">
        <v>747</v>
      </c>
      <c r="G283" s="113" t="s">
        <v>22</v>
      </c>
      <c r="H283" s="112" t="s">
        <v>63</v>
      </c>
      <c r="I283" s="112" t="s">
        <v>110</v>
      </c>
      <c r="J283" s="112" t="s">
        <v>95</v>
      </c>
      <c r="K283" s="115">
        <v>46112.0</v>
      </c>
      <c r="L283" s="112" t="s">
        <v>33</v>
      </c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  <c r="AA283" s="110"/>
      <c r="AB283" s="110"/>
    </row>
    <row r="284">
      <c r="A284" s="110"/>
      <c r="B284" s="176">
        <v>46111.0</v>
      </c>
      <c r="C284" s="112" t="s">
        <v>90</v>
      </c>
      <c r="D284" s="114"/>
      <c r="E284" s="112" t="s">
        <v>748</v>
      </c>
      <c r="F284" s="113" t="s">
        <v>749</v>
      </c>
      <c r="G284" s="113" t="s">
        <v>22</v>
      </c>
      <c r="H284" s="112" t="s">
        <v>332</v>
      </c>
      <c r="I284" s="112" t="s">
        <v>730</v>
      </c>
      <c r="J284" s="112" t="s">
        <v>95</v>
      </c>
      <c r="K284" s="115">
        <v>46112.0</v>
      </c>
      <c r="L284" s="112" t="s">
        <v>33</v>
      </c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  <c r="AA284" s="110"/>
      <c r="AB284" s="110"/>
    </row>
    <row r="285">
      <c r="A285" s="110"/>
      <c r="B285" s="176">
        <v>46111.0</v>
      </c>
      <c r="C285" s="112" t="s">
        <v>90</v>
      </c>
      <c r="D285" s="114"/>
      <c r="E285" s="112" t="s">
        <v>750</v>
      </c>
      <c r="F285" s="113" t="s">
        <v>751</v>
      </c>
      <c r="G285" s="113" t="s">
        <v>22</v>
      </c>
      <c r="H285" s="112" t="s">
        <v>156</v>
      </c>
      <c r="I285" s="112" t="s">
        <v>730</v>
      </c>
      <c r="J285" s="112" t="s">
        <v>95</v>
      </c>
      <c r="K285" s="115">
        <v>46112.0</v>
      </c>
      <c r="L285" s="112" t="s">
        <v>33</v>
      </c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  <c r="AA285" s="110"/>
      <c r="AB285" s="110"/>
    </row>
    <row r="286">
      <c r="A286" s="110"/>
      <c r="B286" s="176">
        <v>46111.0</v>
      </c>
      <c r="C286" s="112" t="s">
        <v>90</v>
      </c>
      <c r="D286" s="114"/>
      <c r="E286" s="112" t="s">
        <v>752</v>
      </c>
      <c r="F286" s="113" t="s">
        <v>753</v>
      </c>
      <c r="G286" s="113" t="s">
        <v>22</v>
      </c>
      <c r="H286" s="112" t="s">
        <v>156</v>
      </c>
      <c r="I286" s="112" t="s">
        <v>730</v>
      </c>
      <c r="J286" s="112" t="s">
        <v>95</v>
      </c>
      <c r="K286" s="115">
        <v>46112.0</v>
      </c>
      <c r="L286" s="112" t="s">
        <v>33</v>
      </c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  <c r="AA286" s="110"/>
      <c r="AB286" s="110"/>
    </row>
    <row r="287">
      <c r="A287" s="110"/>
      <c r="B287" s="176">
        <v>46111.0</v>
      </c>
      <c r="C287" s="112" t="s">
        <v>90</v>
      </c>
      <c r="D287" s="114"/>
      <c r="E287" s="112" t="s">
        <v>754</v>
      </c>
      <c r="F287" s="113" t="s">
        <v>755</v>
      </c>
      <c r="G287" s="113" t="s">
        <v>22</v>
      </c>
      <c r="H287" s="112" t="s">
        <v>156</v>
      </c>
      <c r="I287" s="112" t="s">
        <v>730</v>
      </c>
      <c r="J287" s="112" t="s">
        <v>95</v>
      </c>
      <c r="K287" s="115">
        <v>46112.0</v>
      </c>
      <c r="L287" s="112" t="s">
        <v>33</v>
      </c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  <c r="AA287" s="110"/>
      <c r="AB287" s="110"/>
    </row>
    <row r="288">
      <c r="A288" s="110"/>
      <c r="B288" s="176">
        <v>46111.0</v>
      </c>
      <c r="C288" s="112" t="s">
        <v>756</v>
      </c>
      <c r="D288" s="114">
        <f>56972353313</f>
        <v>56972353313</v>
      </c>
      <c r="E288" s="112" t="s">
        <v>757</v>
      </c>
      <c r="F288" s="114"/>
      <c r="G288" s="113" t="s">
        <v>27</v>
      </c>
      <c r="H288" s="112" t="s">
        <v>758</v>
      </c>
      <c r="I288" s="112" t="s">
        <v>94</v>
      </c>
      <c r="J288" s="112" t="s">
        <v>95</v>
      </c>
      <c r="K288" s="115">
        <v>46112.0</v>
      </c>
      <c r="L288" s="112" t="s">
        <v>33</v>
      </c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  <c r="AA288" s="110"/>
      <c r="AB288" s="110"/>
    </row>
    <row r="289">
      <c r="A289" s="58"/>
      <c r="B289" s="100">
        <v>46111.0</v>
      </c>
      <c r="C289" s="60" t="s">
        <v>90</v>
      </c>
      <c r="D289" s="61"/>
      <c r="E289" s="60" t="s">
        <v>759</v>
      </c>
      <c r="F289" s="62" t="s">
        <v>760</v>
      </c>
      <c r="G289" s="62" t="s">
        <v>22</v>
      </c>
      <c r="H289" s="60" t="s">
        <v>720</v>
      </c>
      <c r="I289" s="60" t="s">
        <v>94</v>
      </c>
      <c r="J289" s="60" t="s">
        <v>95</v>
      </c>
      <c r="K289" s="63">
        <v>46113.0</v>
      </c>
      <c r="L289" s="60" t="s">
        <v>24</v>
      </c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</row>
    <row r="290">
      <c r="A290" s="45"/>
      <c r="B290" s="32">
        <v>46111.0</v>
      </c>
      <c r="C290" s="33" t="s">
        <v>90</v>
      </c>
      <c r="D290" s="34"/>
      <c r="E290" s="33" t="s">
        <v>761</v>
      </c>
      <c r="F290" s="35" t="s">
        <v>762</v>
      </c>
      <c r="G290" s="35" t="s">
        <v>22</v>
      </c>
      <c r="H290" s="33" t="s">
        <v>720</v>
      </c>
      <c r="I290" s="33" t="s">
        <v>94</v>
      </c>
      <c r="J290" s="33" t="s">
        <v>95</v>
      </c>
      <c r="K290" s="56">
        <v>46113.0</v>
      </c>
      <c r="L290" s="33" t="s">
        <v>130</v>
      </c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</row>
    <row r="291">
      <c r="A291" s="58"/>
      <c r="B291" s="100">
        <v>46111.0</v>
      </c>
      <c r="C291" s="60" t="s">
        <v>90</v>
      </c>
      <c r="D291" s="61"/>
      <c r="E291" s="60" t="s">
        <v>763</v>
      </c>
      <c r="F291" s="62" t="s">
        <v>764</v>
      </c>
      <c r="G291" s="62" t="s">
        <v>22</v>
      </c>
      <c r="H291" s="60" t="s">
        <v>156</v>
      </c>
      <c r="I291" s="60" t="s">
        <v>101</v>
      </c>
      <c r="J291" s="60" t="s">
        <v>95</v>
      </c>
      <c r="K291" s="63">
        <v>46113.0</v>
      </c>
      <c r="L291" s="60" t="s">
        <v>24</v>
      </c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</row>
    <row r="292">
      <c r="A292" s="110"/>
      <c r="B292" s="176">
        <v>46111.0</v>
      </c>
      <c r="C292" s="112" t="s">
        <v>90</v>
      </c>
      <c r="D292" s="114"/>
      <c r="E292" s="112" t="s">
        <v>765</v>
      </c>
      <c r="F292" s="113" t="s">
        <v>766</v>
      </c>
      <c r="G292" s="113" t="s">
        <v>22</v>
      </c>
      <c r="H292" s="112" t="s">
        <v>31</v>
      </c>
      <c r="I292" s="112" t="s">
        <v>110</v>
      </c>
      <c r="J292" s="112" t="s">
        <v>95</v>
      </c>
      <c r="K292" s="115">
        <v>46113.0</v>
      </c>
      <c r="L292" s="112" t="s">
        <v>130</v>
      </c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  <c r="AA292" s="110"/>
      <c r="AB292" s="110"/>
    </row>
    <row r="293">
      <c r="A293" s="58"/>
      <c r="B293" s="100">
        <v>46111.0</v>
      </c>
      <c r="C293" s="60" t="s">
        <v>90</v>
      </c>
      <c r="D293" s="61"/>
      <c r="E293" s="60" t="s">
        <v>767</v>
      </c>
      <c r="F293" s="62" t="s">
        <v>768</v>
      </c>
      <c r="G293" s="62" t="s">
        <v>22</v>
      </c>
      <c r="H293" s="60" t="s">
        <v>135</v>
      </c>
      <c r="I293" s="60" t="s">
        <v>110</v>
      </c>
      <c r="J293" s="60" t="s">
        <v>95</v>
      </c>
      <c r="K293" s="63">
        <v>46113.0</v>
      </c>
      <c r="L293" s="60" t="s">
        <v>24</v>
      </c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</row>
    <row r="294">
      <c r="A294" s="45"/>
      <c r="B294" s="32">
        <v>46111.0</v>
      </c>
      <c r="C294" s="33" t="s">
        <v>90</v>
      </c>
      <c r="D294" s="34"/>
      <c r="E294" s="33" t="s">
        <v>769</v>
      </c>
      <c r="F294" s="35" t="s">
        <v>770</v>
      </c>
      <c r="G294" s="35" t="s">
        <v>22</v>
      </c>
      <c r="H294" s="33" t="s">
        <v>73</v>
      </c>
      <c r="I294" s="33" t="s">
        <v>110</v>
      </c>
      <c r="J294" s="33" t="s">
        <v>95</v>
      </c>
      <c r="K294" s="56">
        <v>46113.0</v>
      </c>
      <c r="L294" s="33" t="s">
        <v>130</v>
      </c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</row>
    <row r="295">
      <c r="A295" s="58"/>
      <c r="B295" s="100">
        <v>46111.0</v>
      </c>
      <c r="C295" s="60" t="s">
        <v>90</v>
      </c>
      <c r="D295" s="61"/>
      <c r="E295" s="60" t="s">
        <v>771</v>
      </c>
      <c r="F295" s="62" t="s">
        <v>772</v>
      </c>
      <c r="G295" s="62" t="s">
        <v>22</v>
      </c>
      <c r="H295" s="60" t="s">
        <v>73</v>
      </c>
      <c r="I295" s="60" t="s">
        <v>110</v>
      </c>
      <c r="J295" s="60" t="s">
        <v>95</v>
      </c>
      <c r="K295" s="63">
        <v>46113.0</v>
      </c>
      <c r="L295" s="60" t="s">
        <v>24</v>
      </c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</row>
    <row r="296">
      <c r="A296" s="110"/>
      <c r="B296" s="176">
        <v>46111.0</v>
      </c>
      <c r="C296" s="112" t="s">
        <v>90</v>
      </c>
      <c r="D296" s="114"/>
      <c r="E296" s="112" t="s">
        <v>773</v>
      </c>
      <c r="F296" s="113" t="s">
        <v>774</v>
      </c>
      <c r="G296" s="113" t="s">
        <v>22</v>
      </c>
      <c r="H296" s="112" t="s">
        <v>109</v>
      </c>
      <c r="I296" s="112" t="s">
        <v>110</v>
      </c>
      <c r="J296" s="112" t="s">
        <v>95</v>
      </c>
      <c r="K296" s="115">
        <v>46113.0</v>
      </c>
      <c r="L296" s="112" t="s">
        <v>33</v>
      </c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  <c r="AA296" s="110"/>
      <c r="AB296" s="110"/>
    </row>
    <row r="297">
      <c r="A297" s="58"/>
      <c r="B297" s="100">
        <v>46111.0</v>
      </c>
      <c r="C297" s="60" t="s">
        <v>90</v>
      </c>
      <c r="D297" s="61"/>
      <c r="E297" s="60" t="s">
        <v>775</v>
      </c>
      <c r="F297" s="62" t="s">
        <v>776</v>
      </c>
      <c r="G297" s="62" t="s">
        <v>22</v>
      </c>
      <c r="H297" s="60" t="s">
        <v>332</v>
      </c>
      <c r="I297" s="60" t="s">
        <v>730</v>
      </c>
      <c r="J297" s="60" t="s">
        <v>95</v>
      </c>
      <c r="K297" s="63">
        <v>46113.0</v>
      </c>
      <c r="L297" s="60" t="s">
        <v>24</v>
      </c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</row>
    <row r="298">
      <c r="A298" s="110"/>
      <c r="B298" s="176">
        <v>46111.0</v>
      </c>
      <c r="C298" s="112" t="s">
        <v>90</v>
      </c>
      <c r="D298" s="114"/>
      <c r="E298" s="112" t="s">
        <v>777</v>
      </c>
      <c r="F298" s="113" t="s">
        <v>778</v>
      </c>
      <c r="G298" s="113" t="s">
        <v>22</v>
      </c>
      <c r="H298" s="112" t="s">
        <v>128</v>
      </c>
      <c r="I298" s="112" t="s">
        <v>730</v>
      </c>
      <c r="J298" s="112" t="s">
        <v>95</v>
      </c>
      <c r="K298" s="177">
        <v>46113.0</v>
      </c>
      <c r="L298" s="112" t="s">
        <v>130</v>
      </c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  <c r="AA298" s="110"/>
      <c r="AB298" s="110"/>
    </row>
    <row r="299">
      <c r="A299" s="58"/>
      <c r="B299" s="100">
        <v>46111.0</v>
      </c>
      <c r="C299" s="60" t="s">
        <v>90</v>
      </c>
      <c r="D299" s="61"/>
      <c r="E299" s="60" t="s">
        <v>779</v>
      </c>
      <c r="F299" s="62" t="s">
        <v>780</v>
      </c>
      <c r="G299" s="62" t="s">
        <v>22</v>
      </c>
      <c r="H299" s="60" t="s">
        <v>128</v>
      </c>
      <c r="I299" s="60" t="s">
        <v>730</v>
      </c>
      <c r="J299" s="60" t="s">
        <v>95</v>
      </c>
      <c r="K299" s="63">
        <v>46113.0</v>
      </c>
      <c r="L299" s="60" t="s">
        <v>24</v>
      </c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</row>
    <row r="300">
      <c r="A300" s="58"/>
      <c r="B300" s="100">
        <v>46111.0</v>
      </c>
      <c r="C300" s="60" t="s">
        <v>756</v>
      </c>
      <c r="D300" s="61">
        <f>56972353313</f>
        <v>56972353313</v>
      </c>
      <c r="E300" s="60" t="s">
        <v>781</v>
      </c>
      <c r="F300" s="61"/>
      <c r="G300" s="62" t="s">
        <v>27</v>
      </c>
      <c r="H300" s="60" t="s">
        <v>758</v>
      </c>
      <c r="I300" s="60" t="s">
        <v>94</v>
      </c>
      <c r="J300" s="60" t="s">
        <v>95</v>
      </c>
      <c r="K300" s="63">
        <v>46113.0</v>
      </c>
      <c r="L300" s="60" t="s">
        <v>24</v>
      </c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</row>
    <row r="301">
      <c r="A301" s="58"/>
      <c r="B301" s="100">
        <v>46111.0</v>
      </c>
      <c r="C301" s="60" t="s">
        <v>782</v>
      </c>
      <c r="D301" s="61"/>
      <c r="E301" s="60" t="s">
        <v>146</v>
      </c>
      <c r="F301" s="61"/>
      <c r="G301" s="62" t="s">
        <v>22</v>
      </c>
      <c r="H301" s="60" t="s">
        <v>156</v>
      </c>
      <c r="I301" s="60" t="s">
        <v>338</v>
      </c>
      <c r="J301" s="60" t="s">
        <v>95</v>
      </c>
      <c r="K301" s="63">
        <v>46113.0</v>
      </c>
      <c r="L301" s="60" t="s">
        <v>24</v>
      </c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</row>
    <row r="302">
      <c r="A302" s="110"/>
      <c r="B302" s="176">
        <v>46112.0</v>
      </c>
      <c r="C302" s="112" t="s">
        <v>70</v>
      </c>
      <c r="D302" s="114"/>
      <c r="E302" s="112" t="s">
        <v>783</v>
      </c>
      <c r="F302" s="113" t="s">
        <v>784</v>
      </c>
      <c r="G302" s="113" t="s">
        <v>22</v>
      </c>
      <c r="H302" s="112" t="s">
        <v>183</v>
      </c>
      <c r="I302" s="112" t="s">
        <v>74</v>
      </c>
      <c r="J302" s="112" t="s">
        <v>33</v>
      </c>
      <c r="K302" s="115">
        <v>46112.0</v>
      </c>
      <c r="L302" s="112" t="s">
        <v>33</v>
      </c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  <c r="AA302" s="110"/>
      <c r="AB302" s="110"/>
    </row>
    <row r="303">
      <c r="A303" s="110"/>
      <c r="B303" s="176">
        <v>46112.0</v>
      </c>
      <c r="C303" s="112" t="s">
        <v>70</v>
      </c>
      <c r="D303" s="114"/>
      <c r="E303" s="112" t="s">
        <v>785</v>
      </c>
      <c r="F303" s="113" t="s">
        <v>786</v>
      </c>
      <c r="G303" s="113" t="s">
        <v>22</v>
      </c>
      <c r="H303" s="112" t="s">
        <v>109</v>
      </c>
      <c r="I303" s="112" t="s">
        <v>74</v>
      </c>
      <c r="J303" s="112" t="s">
        <v>33</v>
      </c>
      <c r="K303" s="115">
        <v>46112.0</v>
      </c>
      <c r="L303" s="112" t="s">
        <v>33</v>
      </c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  <c r="AA303" s="110"/>
      <c r="AB303" s="110"/>
    </row>
    <row r="304">
      <c r="A304" s="110"/>
      <c r="B304" s="176">
        <v>46112.0</v>
      </c>
      <c r="C304" s="112" t="s">
        <v>346</v>
      </c>
      <c r="D304" s="114"/>
      <c r="E304" s="112" t="s">
        <v>787</v>
      </c>
      <c r="F304" s="113" t="s">
        <v>788</v>
      </c>
      <c r="G304" s="113" t="s">
        <v>22</v>
      </c>
      <c r="H304" s="112" t="s">
        <v>46</v>
      </c>
      <c r="I304" s="112" t="s">
        <v>789</v>
      </c>
      <c r="J304" s="112" t="s">
        <v>33</v>
      </c>
      <c r="K304" s="115">
        <v>46112.0</v>
      </c>
      <c r="L304" s="112" t="s">
        <v>33</v>
      </c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  <c r="AA304" s="110"/>
      <c r="AB304" s="110"/>
    </row>
    <row r="305">
      <c r="A305" s="110"/>
      <c r="B305" s="176">
        <v>46112.0</v>
      </c>
      <c r="C305" s="112" t="s">
        <v>75</v>
      </c>
      <c r="D305" s="114"/>
      <c r="E305" s="112" t="s">
        <v>790</v>
      </c>
      <c r="F305" s="113" t="s">
        <v>791</v>
      </c>
      <c r="G305" s="113">
        <v>3200.0</v>
      </c>
      <c r="H305" s="112" t="s">
        <v>46</v>
      </c>
      <c r="I305" s="112" t="s">
        <v>792</v>
      </c>
      <c r="J305" s="112" t="s">
        <v>33</v>
      </c>
      <c r="K305" s="115">
        <v>46113.0</v>
      </c>
      <c r="L305" s="112" t="s">
        <v>33</v>
      </c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  <c r="AA305" s="110"/>
      <c r="AB305" s="110"/>
    </row>
    <row r="306">
      <c r="A306" s="58"/>
      <c r="B306" s="100">
        <v>46112.0</v>
      </c>
      <c r="C306" s="60" t="s">
        <v>60</v>
      </c>
      <c r="D306" s="62">
        <v>9.39418042E8</v>
      </c>
      <c r="E306" s="60" t="s">
        <v>793</v>
      </c>
      <c r="F306" s="62">
        <v>9.83343032E8</v>
      </c>
      <c r="G306" s="62" t="s">
        <v>22</v>
      </c>
      <c r="H306" s="60" t="s">
        <v>122</v>
      </c>
      <c r="I306" s="60" t="s">
        <v>794</v>
      </c>
      <c r="J306" s="60" t="s">
        <v>33</v>
      </c>
      <c r="K306" s="63">
        <v>46113.0</v>
      </c>
      <c r="L306" s="60" t="s">
        <v>24</v>
      </c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</row>
    <row r="307">
      <c r="A307" s="58"/>
      <c r="B307" s="100">
        <v>46112.0</v>
      </c>
      <c r="C307" s="60" t="s">
        <v>60</v>
      </c>
      <c r="D307" s="62">
        <v>9.39418042E8</v>
      </c>
      <c r="E307" s="60" t="s">
        <v>795</v>
      </c>
      <c r="F307" s="62">
        <v>9.78923304E8</v>
      </c>
      <c r="G307" s="62" t="s">
        <v>22</v>
      </c>
      <c r="H307" s="60" t="s">
        <v>122</v>
      </c>
      <c r="I307" s="60" t="s">
        <v>796</v>
      </c>
      <c r="J307" s="60" t="s">
        <v>33</v>
      </c>
      <c r="K307" s="63">
        <v>46113.0</v>
      </c>
      <c r="L307" s="60" t="s">
        <v>24</v>
      </c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</row>
    <row r="308">
      <c r="A308" s="45"/>
      <c r="B308" s="42">
        <v>46113.0</v>
      </c>
      <c r="C308" s="33" t="s">
        <v>90</v>
      </c>
      <c r="D308" s="34"/>
      <c r="E308" s="33" t="s">
        <v>797</v>
      </c>
      <c r="F308" s="34"/>
      <c r="G308" s="35" t="s">
        <v>22</v>
      </c>
      <c r="H308" s="33" t="s">
        <v>100</v>
      </c>
      <c r="I308" s="33" t="s">
        <v>798</v>
      </c>
      <c r="J308" s="33" t="s">
        <v>130</v>
      </c>
      <c r="K308" s="56">
        <v>46113.0</v>
      </c>
      <c r="L308" s="33" t="s">
        <v>130</v>
      </c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</row>
    <row r="309">
      <c r="A309" s="45"/>
      <c r="B309" s="42">
        <v>46113.0</v>
      </c>
      <c r="C309" s="33" t="s">
        <v>90</v>
      </c>
      <c r="D309" s="35" t="s">
        <v>799</v>
      </c>
      <c r="E309" s="33" t="s">
        <v>800</v>
      </c>
      <c r="F309" s="35" t="s">
        <v>801</v>
      </c>
      <c r="G309" s="35" t="s">
        <v>22</v>
      </c>
      <c r="H309" s="33" t="s">
        <v>802</v>
      </c>
      <c r="I309" s="33" t="s">
        <v>803</v>
      </c>
      <c r="J309" s="33" t="s">
        <v>130</v>
      </c>
      <c r="K309" s="56">
        <v>46113.0</v>
      </c>
      <c r="L309" s="33" t="s">
        <v>130</v>
      </c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</row>
    <row r="310">
      <c r="A310" s="58"/>
      <c r="B310" s="178">
        <v>46113.0</v>
      </c>
      <c r="C310" s="60" t="s">
        <v>140</v>
      </c>
      <c r="D310" s="61"/>
      <c r="E310" s="60" t="s">
        <v>804</v>
      </c>
      <c r="F310" s="62" t="s">
        <v>805</v>
      </c>
      <c r="G310" s="62" t="s">
        <v>22</v>
      </c>
      <c r="H310" s="60" t="s">
        <v>806</v>
      </c>
      <c r="I310" s="60" t="s">
        <v>144</v>
      </c>
      <c r="J310" s="60" t="s">
        <v>130</v>
      </c>
      <c r="K310" s="63">
        <v>46113.0</v>
      </c>
      <c r="L310" s="60" t="s">
        <v>24</v>
      </c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</row>
    <row r="311">
      <c r="A311" s="23"/>
      <c r="B311" s="37">
        <v>46111.0</v>
      </c>
      <c r="C311" s="38" t="s">
        <v>90</v>
      </c>
      <c r="D311" s="39"/>
      <c r="E311" s="38" t="s">
        <v>807</v>
      </c>
      <c r="F311" s="40" t="s">
        <v>808</v>
      </c>
      <c r="G311" s="40" t="s">
        <v>22</v>
      </c>
      <c r="H311" s="38" t="s">
        <v>720</v>
      </c>
      <c r="I311" s="38" t="s">
        <v>94</v>
      </c>
      <c r="J311" s="38" t="s">
        <v>95</v>
      </c>
      <c r="K311" s="23"/>
      <c r="L311" s="38" t="s">
        <v>809</v>
      </c>
    </row>
    <row r="312">
      <c r="B312" s="24"/>
      <c r="C312" s="1"/>
      <c r="D312" s="25"/>
      <c r="E312" s="1"/>
      <c r="F312" s="25"/>
      <c r="G312" s="1"/>
      <c r="H312" s="1"/>
      <c r="I312" s="1"/>
      <c r="J312" s="6"/>
      <c r="K312" s="7"/>
    </row>
    <row r="313">
      <c r="B313" s="24"/>
      <c r="C313" s="1"/>
      <c r="D313" s="25"/>
      <c r="E313" s="1"/>
      <c r="F313" s="25"/>
      <c r="G313" s="1"/>
      <c r="H313" s="1"/>
      <c r="I313" s="1"/>
      <c r="J313" s="6"/>
      <c r="K313" s="7"/>
    </row>
    <row r="314">
      <c r="B314" s="24"/>
      <c r="C314" s="1"/>
      <c r="D314" s="25"/>
      <c r="E314" s="1"/>
      <c r="F314" s="7"/>
      <c r="G314" s="7"/>
      <c r="H314" s="1"/>
      <c r="I314" s="1"/>
      <c r="J314" s="6"/>
      <c r="K314" s="7"/>
    </row>
    <row r="315">
      <c r="B315" s="24"/>
      <c r="C315" s="1"/>
      <c r="D315" s="25"/>
      <c r="E315" s="1"/>
      <c r="F315" s="25"/>
      <c r="G315" s="7"/>
      <c r="H315" s="1"/>
      <c r="I315" s="1"/>
      <c r="J315" s="6"/>
      <c r="K315" s="7"/>
    </row>
    <row r="316">
      <c r="B316" s="24"/>
      <c r="C316" s="1"/>
      <c r="D316" s="25"/>
      <c r="E316" s="1"/>
      <c r="F316" s="25"/>
      <c r="G316" s="7"/>
      <c r="H316" s="1"/>
      <c r="I316" s="1"/>
      <c r="J316" s="6"/>
      <c r="K316" s="7"/>
    </row>
    <row r="317">
      <c r="B317" s="24"/>
      <c r="C317" s="1"/>
      <c r="D317" s="25"/>
      <c r="E317" s="1"/>
      <c r="F317" s="7"/>
      <c r="G317" s="7"/>
      <c r="H317" s="1"/>
      <c r="I317" s="1"/>
      <c r="J317" s="6"/>
      <c r="K317" s="7"/>
    </row>
    <row r="318">
      <c r="B318" s="24"/>
      <c r="C318" s="1"/>
      <c r="D318" s="25"/>
      <c r="E318" s="1"/>
      <c r="F318" s="7"/>
      <c r="G318" s="7"/>
      <c r="H318" s="1"/>
      <c r="I318" s="1"/>
      <c r="J318" s="6"/>
      <c r="K318" s="7"/>
    </row>
    <row r="319">
      <c r="B319" s="24"/>
      <c r="C319" s="1"/>
      <c r="D319" s="25"/>
      <c r="E319" s="1"/>
      <c r="F319" s="25"/>
      <c r="G319" s="7"/>
      <c r="H319" s="1"/>
      <c r="I319" s="1"/>
      <c r="J319" s="6"/>
      <c r="K319" s="7"/>
    </row>
    <row r="320">
      <c r="B320" s="49"/>
      <c r="C320" s="1"/>
      <c r="D320" s="7"/>
      <c r="E320" s="1"/>
      <c r="F320" s="25"/>
      <c r="G320" s="7"/>
      <c r="H320" s="1"/>
      <c r="I320" s="1"/>
      <c r="J320" s="6"/>
      <c r="K320" s="7"/>
    </row>
    <row r="321">
      <c r="B321" s="49"/>
      <c r="C321" s="1"/>
      <c r="D321" s="25"/>
      <c r="E321" s="1"/>
      <c r="F321" s="25"/>
      <c r="G321" s="7"/>
      <c r="H321" s="1"/>
      <c r="I321" s="1"/>
      <c r="J321" s="26"/>
      <c r="K321" s="25"/>
    </row>
    <row r="322">
      <c r="B322" s="49"/>
      <c r="C322" s="1"/>
      <c r="D322" s="7"/>
      <c r="E322" s="1"/>
      <c r="F322" s="25"/>
      <c r="G322" s="7"/>
      <c r="H322" s="1"/>
      <c r="I322" s="1"/>
      <c r="J322" s="6"/>
      <c r="K322" s="7"/>
    </row>
    <row r="323">
      <c r="B323" s="49"/>
      <c r="C323" s="1"/>
      <c r="D323" s="7"/>
      <c r="E323" s="1"/>
      <c r="F323" s="25"/>
      <c r="G323" s="7"/>
      <c r="H323" s="1"/>
      <c r="I323" s="1"/>
      <c r="J323" s="6"/>
      <c r="K323" s="7"/>
    </row>
    <row r="324">
      <c r="A324" s="155"/>
      <c r="B324" s="179"/>
      <c r="C324" s="155"/>
      <c r="D324" s="180"/>
      <c r="E324" s="155"/>
      <c r="F324" s="180"/>
      <c r="G324" s="180"/>
      <c r="H324" s="155"/>
      <c r="I324" s="155"/>
      <c r="J324" s="181"/>
      <c r="K324" s="182"/>
      <c r="L324" s="155"/>
    </row>
    <row r="325">
      <c r="B325" s="49"/>
      <c r="C325" s="1"/>
      <c r="D325" s="25"/>
      <c r="E325" s="1"/>
      <c r="F325" s="25"/>
      <c r="G325" s="7"/>
      <c r="H325" s="1"/>
      <c r="I325" s="1"/>
      <c r="J325" s="6"/>
      <c r="K325" s="1"/>
    </row>
    <row r="326">
      <c r="B326" s="49"/>
      <c r="C326" s="1"/>
      <c r="D326" s="25"/>
      <c r="E326" s="1"/>
      <c r="F326" s="25"/>
      <c r="G326" s="7"/>
      <c r="H326" s="1"/>
      <c r="I326" s="1"/>
      <c r="J326" s="6"/>
      <c r="K326" s="1"/>
    </row>
    <row r="327">
      <c r="B327" s="49"/>
      <c r="C327" s="1"/>
      <c r="D327" s="25"/>
      <c r="E327" s="1"/>
      <c r="F327" s="25"/>
      <c r="G327" s="7"/>
      <c r="H327" s="1"/>
      <c r="I327" s="1"/>
      <c r="J327" s="6"/>
      <c r="K327" s="1"/>
    </row>
    <row r="328">
      <c r="B328" s="49"/>
      <c r="C328" s="1"/>
      <c r="D328" s="25"/>
      <c r="E328" s="1"/>
      <c r="F328" s="25"/>
      <c r="G328" s="7"/>
      <c r="H328" s="1"/>
      <c r="I328" s="1"/>
      <c r="J328" s="6"/>
      <c r="K328" s="1"/>
    </row>
    <row r="329">
      <c r="B329" s="49"/>
      <c r="C329" s="1"/>
      <c r="D329" s="25"/>
      <c r="E329" s="1"/>
      <c r="F329" s="7"/>
      <c r="G329" s="7"/>
      <c r="H329" s="1"/>
      <c r="I329" s="1"/>
      <c r="J329" s="6"/>
      <c r="K329" s="1"/>
    </row>
    <row r="330">
      <c r="B330" s="49"/>
      <c r="C330" s="1"/>
      <c r="D330" s="25"/>
      <c r="E330" s="1"/>
      <c r="F330" s="25"/>
      <c r="G330" s="7"/>
      <c r="H330" s="1"/>
      <c r="I330" s="1"/>
      <c r="J330" s="26"/>
    </row>
    <row r="331">
      <c r="B331" s="49"/>
      <c r="C331" s="1"/>
      <c r="D331" s="25"/>
      <c r="E331" s="1"/>
      <c r="F331" s="7"/>
      <c r="G331" s="7"/>
      <c r="H331" s="1"/>
      <c r="I331" s="1"/>
      <c r="J331" s="6"/>
      <c r="K331" s="1"/>
    </row>
    <row r="332">
      <c r="B332" s="49"/>
      <c r="C332" s="1"/>
      <c r="D332" s="25"/>
      <c r="E332" s="1"/>
      <c r="F332" s="25"/>
      <c r="G332" s="7"/>
      <c r="H332" s="1"/>
      <c r="I332" s="1"/>
      <c r="K332" s="26"/>
      <c r="L332" s="25"/>
    </row>
    <row r="333">
      <c r="B333" s="49"/>
      <c r="C333" s="1"/>
      <c r="D333" s="25"/>
      <c r="E333" s="1"/>
      <c r="F333" s="25"/>
      <c r="G333" s="7"/>
      <c r="H333" s="1"/>
      <c r="I333" s="1"/>
      <c r="J333" s="6"/>
      <c r="K333" s="7"/>
    </row>
    <row r="334">
      <c r="B334" s="49"/>
      <c r="C334" s="1"/>
      <c r="D334" s="7"/>
      <c r="E334" s="1"/>
      <c r="F334" s="25"/>
      <c r="G334" s="7"/>
      <c r="H334" s="1"/>
      <c r="I334" s="1"/>
      <c r="J334" s="6"/>
      <c r="K334" s="7"/>
    </row>
    <row r="335">
      <c r="B335" s="49"/>
      <c r="C335" s="1"/>
      <c r="D335" s="25"/>
      <c r="E335" s="1"/>
      <c r="F335" s="7"/>
      <c r="G335" s="7"/>
      <c r="H335" s="1"/>
      <c r="I335" s="1"/>
      <c r="J335" s="1"/>
      <c r="K335" s="6"/>
      <c r="L335" s="25"/>
    </row>
    <row r="336">
      <c r="B336" s="29"/>
      <c r="C336" s="1"/>
      <c r="D336" s="25"/>
      <c r="E336" s="1"/>
      <c r="F336" s="7"/>
      <c r="G336" s="7"/>
      <c r="H336" s="1"/>
      <c r="I336" s="1"/>
      <c r="J336" s="6"/>
      <c r="K336" s="7"/>
    </row>
    <row r="337">
      <c r="B337" s="29"/>
      <c r="C337" s="1"/>
      <c r="D337" s="25"/>
      <c r="E337" s="1"/>
      <c r="F337" s="7"/>
      <c r="G337" s="7"/>
      <c r="H337" s="1"/>
      <c r="I337" s="1"/>
      <c r="J337" s="1"/>
      <c r="K337" s="6"/>
      <c r="L337" s="7"/>
    </row>
    <row r="338">
      <c r="B338" s="29"/>
      <c r="C338" s="1"/>
      <c r="D338" s="25"/>
      <c r="E338" s="1"/>
      <c r="F338" s="25"/>
      <c r="G338" s="7"/>
      <c r="H338" s="1"/>
      <c r="I338" s="1"/>
      <c r="J338" s="6"/>
      <c r="K338" s="7"/>
    </row>
    <row r="339">
      <c r="B339" s="49"/>
      <c r="C339" s="1"/>
      <c r="D339" s="25"/>
      <c r="E339" s="1"/>
      <c r="F339" s="25"/>
      <c r="G339" s="7"/>
      <c r="H339" s="1"/>
      <c r="I339" s="1"/>
      <c r="J339" s="1"/>
      <c r="K339" s="6"/>
      <c r="L339" s="25"/>
    </row>
    <row r="340">
      <c r="B340" s="49"/>
      <c r="C340" s="1"/>
      <c r="D340" s="25"/>
      <c r="E340" s="1"/>
      <c r="F340" s="25"/>
      <c r="G340" s="7"/>
      <c r="H340" s="1"/>
      <c r="I340" s="1"/>
      <c r="K340" s="26"/>
      <c r="L340" s="25"/>
    </row>
    <row r="341">
      <c r="B341" s="49"/>
      <c r="C341" s="1"/>
      <c r="D341" s="25"/>
      <c r="E341" s="1"/>
      <c r="F341" s="7"/>
      <c r="G341" s="7"/>
      <c r="H341" s="1"/>
      <c r="I341" s="1"/>
      <c r="J341" s="1"/>
      <c r="K341" s="6"/>
      <c r="L341" s="25"/>
    </row>
    <row r="342">
      <c r="B342" s="49"/>
      <c r="C342" s="1"/>
      <c r="D342" s="25"/>
      <c r="E342" s="1"/>
      <c r="F342" s="25"/>
      <c r="G342" s="7"/>
      <c r="H342" s="1"/>
      <c r="I342" s="1"/>
      <c r="J342" s="1"/>
      <c r="K342" s="6"/>
      <c r="L342" s="25"/>
    </row>
    <row r="343">
      <c r="B343" s="48"/>
      <c r="C343" s="1"/>
      <c r="D343" s="25"/>
      <c r="E343" s="1"/>
      <c r="F343" s="7"/>
      <c r="G343" s="25"/>
      <c r="H343" s="1"/>
      <c r="J343" s="1"/>
      <c r="K343" s="26"/>
      <c r="L343" s="25"/>
    </row>
    <row r="344">
      <c r="B344" s="29"/>
      <c r="C344" s="1"/>
      <c r="D344" s="25"/>
      <c r="E344" s="1"/>
      <c r="F344" s="7"/>
      <c r="G344" s="7"/>
      <c r="H344" s="1"/>
      <c r="I344" s="1"/>
      <c r="J344" s="6"/>
      <c r="K344" s="7"/>
    </row>
    <row r="345">
      <c r="B345" s="29"/>
      <c r="C345" s="1"/>
      <c r="D345" s="25"/>
      <c r="E345" s="1"/>
      <c r="F345" s="7"/>
      <c r="G345" s="7"/>
      <c r="H345" s="1"/>
      <c r="I345" s="1"/>
      <c r="J345" s="6"/>
      <c r="K345" s="7"/>
    </row>
    <row r="346">
      <c r="B346" s="29"/>
      <c r="C346" s="1"/>
      <c r="D346" s="25"/>
      <c r="E346" s="1"/>
      <c r="F346" s="25"/>
      <c r="G346" s="7"/>
      <c r="H346" s="1"/>
      <c r="I346" s="1"/>
      <c r="J346" s="6"/>
      <c r="K346" s="7"/>
    </row>
    <row r="347">
      <c r="B347" s="29"/>
      <c r="C347" s="1"/>
      <c r="D347" s="25"/>
      <c r="E347" s="1"/>
      <c r="F347" s="7"/>
      <c r="G347" s="7"/>
      <c r="H347" s="1"/>
      <c r="I347" s="1"/>
      <c r="J347" s="6"/>
      <c r="K347" s="7"/>
    </row>
    <row r="348">
      <c r="B348" s="29"/>
      <c r="C348" s="1"/>
      <c r="D348" s="25"/>
      <c r="E348" s="1"/>
      <c r="F348" s="7"/>
      <c r="G348" s="7"/>
      <c r="H348" s="1"/>
      <c r="I348" s="1"/>
      <c r="J348" s="6"/>
      <c r="K348" s="7"/>
    </row>
    <row r="349">
      <c r="B349" s="29"/>
      <c r="C349" s="1"/>
      <c r="D349" s="25"/>
      <c r="E349" s="1"/>
      <c r="F349" s="7"/>
      <c r="G349" s="7"/>
      <c r="H349" s="1"/>
      <c r="I349" s="1"/>
      <c r="J349" s="6"/>
      <c r="K349" s="7"/>
    </row>
    <row r="350">
      <c r="B350" s="29"/>
      <c r="C350" s="1"/>
      <c r="D350" s="25"/>
      <c r="E350" s="1"/>
      <c r="F350" s="7"/>
      <c r="G350" s="7"/>
      <c r="H350" s="1"/>
      <c r="I350" s="1"/>
      <c r="J350" s="6"/>
      <c r="K350" s="7"/>
    </row>
    <row r="351">
      <c r="B351" s="29"/>
      <c r="C351" s="1"/>
      <c r="D351" s="25"/>
      <c r="E351" s="1"/>
      <c r="F351" s="7"/>
      <c r="G351" s="7"/>
      <c r="H351" s="1"/>
      <c r="I351" s="1"/>
      <c r="J351" s="6"/>
      <c r="K351" s="7"/>
    </row>
    <row r="352">
      <c r="B352" s="29"/>
      <c r="C352" s="1"/>
      <c r="D352" s="25"/>
      <c r="E352" s="1"/>
      <c r="F352" s="25"/>
      <c r="G352" s="7"/>
      <c r="H352" s="1"/>
      <c r="I352" s="1"/>
      <c r="J352" s="6"/>
      <c r="K352" s="7"/>
    </row>
    <row r="353">
      <c r="B353" s="29"/>
      <c r="C353" s="1"/>
      <c r="D353" s="25"/>
      <c r="E353" s="1"/>
      <c r="F353" s="25"/>
      <c r="G353" s="7"/>
      <c r="H353" s="1"/>
      <c r="I353" s="1"/>
      <c r="J353" s="6"/>
      <c r="K353" s="7"/>
    </row>
    <row r="354">
      <c r="B354" s="29"/>
      <c r="C354" s="1"/>
      <c r="D354" s="25"/>
      <c r="E354" s="1"/>
      <c r="F354" s="25"/>
      <c r="G354" s="7"/>
      <c r="H354" s="1"/>
      <c r="I354" s="1"/>
      <c r="J354" s="6"/>
      <c r="K354" s="7"/>
    </row>
    <row r="355">
      <c r="B355" s="49"/>
      <c r="C355" s="1"/>
      <c r="D355" s="25"/>
      <c r="E355" s="1"/>
      <c r="F355" s="25"/>
      <c r="G355" s="7"/>
      <c r="H355" s="1"/>
      <c r="I355" s="1"/>
      <c r="J355" s="6"/>
      <c r="K355" s="7"/>
    </row>
    <row r="356">
      <c r="B356" s="49"/>
      <c r="C356" s="1"/>
      <c r="D356" s="25"/>
      <c r="E356" s="1"/>
      <c r="F356" s="25"/>
      <c r="G356" s="7"/>
      <c r="H356" s="1"/>
      <c r="I356" s="1"/>
      <c r="J356" s="6"/>
      <c r="K356" s="7"/>
    </row>
    <row r="357">
      <c r="B357" s="49"/>
      <c r="C357" s="1"/>
      <c r="D357" s="25"/>
      <c r="E357" s="1"/>
      <c r="F357" s="7"/>
      <c r="G357" s="7"/>
      <c r="H357" s="1"/>
      <c r="I357" s="1"/>
      <c r="J357" s="6"/>
      <c r="K357" s="7"/>
    </row>
    <row r="358">
      <c r="B358" s="49"/>
      <c r="C358" s="1"/>
      <c r="D358" s="25"/>
      <c r="E358" s="1"/>
      <c r="F358" s="7"/>
      <c r="G358" s="7"/>
      <c r="H358" s="1"/>
      <c r="I358" s="1"/>
      <c r="J358" s="6"/>
      <c r="K358" s="7"/>
    </row>
    <row r="359">
      <c r="B359" s="49"/>
      <c r="C359" s="1"/>
      <c r="D359" s="25"/>
      <c r="E359" s="1"/>
      <c r="F359" s="7"/>
      <c r="G359" s="7"/>
      <c r="H359" s="1"/>
      <c r="I359" s="1"/>
      <c r="J359" s="6"/>
      <c r="K359" s="7"/>
    </row>
    <row r="360">
      <c r="B360" s="49"/>
      <c r="C360" s="1"/>
      <c r="D360" s="25"/>
      <c r="E360" s="1"/>
      <c r="F360" s="25"/>
      <c r="G360" s="7"/>
      <c r="H360" s="1"/>
      <c r="I360" s="1"/>
      <c r="J360" s="6"/>
      <c r="K360" s="7"/>
    </row>
    <row r="361">
      <c r="B361" s="49"/>
      <c r="C361" s="1"/>
      <c r="D361" s="25"/>
      <c r="E361" s="1"/>
      <c r="F361" s="25"/>
      <c r="G361" s="7"/>
      <c r="H361" s="1"/>
      <c r="I361" s="1"/>
      <c r="J361" s="6"/>
      <c r="K361" s="1"/>
    </row>
    <row r="362">
      <c r="B362" s="49"/>
      <c r="C362" s="1"/>
      <c r="D362" s="7"/>
      <c r="E362" s="1"/>
      <c r="F362" s="25"/>
      <c r="G362" s="7"/>
      <c r="H362" s="1"/>
      <c r="I362" s="1"/>
      <c r="J362" s="6"/>
      <c r="K362" s="1"/>
    </row>
    <row r="363">
      <c r="B363" s="49"/>
      <c r="C363" s="1"/>
      <c r="D363" s="25"/>
      <c r="E363" s="1"/>
      <c r="F363" s="25"/>
      <c r="G363" s="7"/>
      <c r="H363" s="1"/>
      <c r="I363" s="1"/>
      <c r="J363" s="6"/>
      <c r="K363" s="1"/>
    </row>
    <row r="364">
      <c r="B364" s="49"/>
      <c r="C364" s="1"/>
      <c r="D364" s="25"/>
      <c r="E364" s="1"/>
      <c r="F364" s="7"/>
      <c r="G364" s="7"/>
      <c r="H364" s="1"/>
      <c r="I364" s="1"/>
      <c r="J364" s="6"/>
    </row>
    <row r="365">
      <c r="B365" s="49"/>
      <c r="C365" s="1"/>
      <c r="D365" s="7"/>
      <c r="E365" s="1"/>
      <c r="F365" s="7"/>
      <c r="G365" s="7"/>
      <c r="H365" s="1"/>
      <c r="I365" s="1"/>
      <c r="J365" s="1"/>
      <c r="K365" s="6"/>
      <c r="L365" s="25"/>
    </row>
    <row r="366">
      <c r="B366" s="49"/>
      <c r="C366" s="1"/>
      <c r="D366" s="7"/>
      <c r="E366" s="1"/>
      <c r="F366" s="7"/>
      <c r="G366" s="7"/>
      <c r="H366" s="1"/>
      <c r="I366" s="1"/>
      <c r="J366" s="1"/>
      <c r="K366" s="6"/>
      <c r="L366" s="25"/>
    </row>
    <row r="367">
      <c r="B367" s="49"/>
      <c r="C367" s="1"/>
      <c r="D367" s="25"/>
      <c r="E367" s="1"/>
      <c r="F367" s="25"/>
      <c r="G367" s="7"/>
      <c r="H367" s="1"/>
      <c r="I367" s="1"/>
      <c r="J367" s="1"/>
      <c r="K367" s="6"/>
      <c r="L367" s="25"/>
    </row>
    <row r="368">
      <c r="B368" s="49"/>
      <c r="C368" s="1"/>
      <c r="D368" s="25"/>
      <c r="E368" s="1"/>
      <c r="F368" s="25"/>
      <c r="G368" s="7"/>
      <c r="H368" s="1"/>
      <c r="I368" s="1"/>
      <c r="J368" s="1"/>
      <c r="K368" s="6"/>
      <c r="L368" s="25"/>
    </row>
    <row r="369">
      <c r="B369" s="49"/>
      <c r="C369" s="1"/>
      <c r="D369" s="25"/>
      <c r="E369" s="1"/>
      <c r="F369" s="25"/>
      <c r="G369" s="7"/>
      <c r="H369" s="1"/>
      <c r="I369" s="1"/>
      <c r="J369" s="1"/>
      <c r="K369" s="6"/>
      <c r="L369" s="25"/>
    </row>
    <row r="370">
      <c r="B370" s="49"/>
      <c r="C370" s="1"/>
      <c r="D370" s="7"/>
      <c r="E370" s="1"/>
      <c r="F370" s="25"/>
      <c r="G370" s="7"/>
      <c r="H370" s="1"/>
      <c r="I370" s="1"/>
      <c r="J370" s="1"/>
      <c r="K370" s="6"/>
      <c r="L370" s="25"/>
    </row>
    <row r="371">
      <c r="B371" s="49"/>
      <c r="C371" s="1"/>
      <c r="D371" s="25"/>
      <c r="E371" s="1"/>
      <c r="F371" s="25"/>
      <c r="G371" s="7"/>
      <c r="H371" s="1"/>
      <c r="I371" s="1"/>
      <c r="J371" s="1"/>
      <c r="K371" s="6"/>
      <c r="L371" s="25"/>
    </row>
    <row r="372">
      <c r="B372" s="49"/>
      <c r="C372" s="1"/>
      <c r="D372" s="25"/>
      <c r="E372" s="1"/>
      <c r="F372" s="25"/>
      <c r="G372" s="7"/>
      <c r="H372" s="1"/>
      <c r="I372" s="1"/>
      <c r="J372" s="1"/>
      <c r="K372" s="6"/>
      <c r="L372" s="25"/>
    </row>
    <row r="373">
      <c r="B373" s="49"/>
      <c r="C373" s="1"/>
      <c r="D373" s="25"/>
      <c r="E373" s="1"/>
      <c r="F373" s="7"/>
      <c r="G373" s="7"/>
      <c r="H373" s="1"/>
      <c r="I373" s="1"/>
      <c r="J373" s="1"/>
      <c r="K373" s="6"/>
      <c r="L373" s="25"/>
    </row>
    <row r="374">
      <c r="B374" s="49"/>
      <c r="C374" s="1"/>
      <c r="D374" s="25"/>
      <c r="E374" s="1"/>
      <c r="F374" s="25"/>
      <c r="G374" s="7"/>
      <c r="H374" s="1"/>
      <c r="I374" s="1"/>
      <c r="J374" s="1"/>
      <c r="K374" s="6"/>
      <c r="L374" s="25"/>
    </row>
    <row r="375">
      <c r="B375" s="49"/>
      <c r="C375" s="183"/>
      <c r="D375" s="25"/>
      <c r="E375" s="1"/>
      <c r="F375" s="25"/>
      <c r="G375" s="7"/>
      <c r="H375" s="1"/>
      <c r="I375" s="1"/>
      <c r="J375" s="1"/>
      <c r="K375" s="6"/>
      <c r="L375" s="25"/>
    </row>
    <row r="376">
      <c r="B376" s="29"/>
      <c r="C376" s="1"/>
      <c r="D376" s="25"/>
      <c r="E376" s="1"/>
      <c r="F376" s="7"/>
      <c r="G376" s="7"/>
      <c r="H376" s="1"/>
      <c r="I376" s="1"/>
      <c r="J376" s="6"/>
      <c r="K376" s="7"/>
    </row>
    <row r="377">
      <c r="B377" s="29"/>
      <c r="C377" s="1"/>
      <c r="D377" s="25"/>
      <c r="E377" s="1"/>
      <c r="F377" s="7"/>
      <c r="G377" s="7"/>
      <c r="H377" s="1"/>
      <c r="I377" s="1"/>
      <c r="J377" s="6"/>
      <c r="K377" s="7"/>
    </row>
    <row r="378">
      <c r="B378" s="29"/>
      <c r="C378" s="1"/>
      <c r="D378" s="25"/>
      <c r="E378" s="1"/>
      <c r="F378" s="7"/>
      <c r="G378" s="7"/>
      <c r="H378" s="1"/>
      <c r="I378" s="1"/>
      <c r="J378" s="6"/>
      <c r="K378" s="7"/>
    </row>
    <row r="379">
      <c r="B379" s="29"/>
      <c r="C379" s="1"/>
      <c r="D379" s="25"/>
      <c r="E379" s="1"/>
      <c r="F379" s="7"/>
      <c r="G379" s="7"/>
      <c r="H379" s="1"/>
      <c r="I379" s="1"/>
      <c r="J379" s="6"/>
      <c r="K379" s="7"/>
    </row>
    <row r="380">
      <c r="B380" s="49"/>
      <c r="C380" s="1"/>
      <c r="D380" s="25"/>
      <c r="E380" s="1"/>
      <c r="F380" s="25"/>
      <c r="G380" s="7"/>
      <c r="H380" s="1"/>
      <c r="I380" s="1"/>
      <c r="J380" s="1"/>
      <c r="K380" s="6"/>
      <c r="L380" s="25"/>
    </row>
    <row r="381">
      <c r="B381" s="49"/>
      <c r="C381" s="1"/>
      <c r="D381" s="25"/>
      <c r="E381" s="1"/>
      <c r="F381" s="25"/>
      <c r="G381" s="7"/>
      <c r="H381" s="1"/>
      <c r="I381" s="1"/>
      <c r="J381" s="1"/>
      <c r="K381" s="6"/>
      <c r="L381" s="25"/>
    </row>
    <row r="382">
      <c r="B382" s="49"/>
      <c r="C382" s="1"/>
      <c r="D382" s="25"/>
      <c r="E382" s="1"/>
      <c r="F382" s="7"/>
      <c r="G382" s="7"/>
      <c r="H382" s="1"/>
      <c r="I382" s="1"/>
      <c r="J382" s="1"/>
      <c r="K382" s="6"/>
      <c r="L382" s="25"/>
    </row>
    <row r="383">
      <c r="B383" s="27"/>
      <c r="C383" s="1"/>
      <c r="D383" s="25"/>
      <c r="E383" s="1"/>
      <c r="F383" s="25"/>
      <c r="G383" s="7"/>
      <c r="H383" s="1"/>
      <c r="I383" s="1"/>
      <c r="J383" s="6"/>
      <c r="K383" s="7"/>
    </row>
    <row r="384">
      <c r="B384" s="49"/>
      <c r="C384" s="1"/>
      <c r="D384" s="25"/>
      <c r="E384" s="1"/>
      <c r="F384" s="7"/>
      <c r="G384" s="7"/>
      <c r="H384" s="1"/>
      <c r="I384" s="1"/>
      <c r="J384" s="1"/>
      <c r="K384" s="6"/>
      <c r="L384" s="25"/>
    </row>
    <row r="385">
      <c r="B385" s="49"/>
      <c r="C385" s="1"/>
      <c r="D385" s="25"/>
      <c r="E385" s="1"/>
      <c r="F385" s="25"/>
      <c r="G385" s="7"/>
      <c r="H385" s="1"/>
      <c r="I385" s="1"/>
      <c r="J385" s="1"/>
      <c r="K385" s="6"/>
      <c r="L385" s="25"/>
    </row>
    <row r="386">
      <c r="B386" s="49"/>
      <c r="C386" s="1"/>
      <c r="D386" s="25"/>
      <c r="E386" s="1"/>
      <c r="F386" s="25"/>
      <c r="G386" s="7"/>
      <c r="H386" s="1"/>
      <c r="I386" s="1"/>
      <c r="J386" s="1"/>
      <c r="K386" s="6"/>
      <c r="L386" s="25"/>
    </row>
    <row r="387">
      <c r="B387" s="49"/>
      <c r="C387" s="1"/>
      <c r="D387" s="25"/>
      <c r="E387" s="1"/>
      <c r="F387" s="25"/>
      <c r="G387" s="7"/>
      <c r="H387" s="1"/>
      <c r="I387" s="1"/>
      <c r="J387" s="1"/>
      <c r="K387" s="6"/>
      <c r="L387" s="25"/>
    </row>
    <row r="388">
      <c r="B388" s="49"/>
      <c r="C388" s="1"/>
      <c r="D388" s="7"/>
      <c r="E388" s="1"/>
      <c r="F388" s="25"/>
      <c r="G388" s="7"/>
      <c r="H388" s="1"/>
      <c r="I388" s="1"/>
      <c r="J388" s="1"/>
      <c r="K388" s="6"/>
      <c r="L388" s="25"/>
    </row>
    <row r="389">
      <c r="B389" s="49"/>
      <c r="C389" s="1"/>
      <c r="D389" s="25"/>
      <c r="E389" s="1"/>
      <c r="F389" s="25"/>
      <c r="G389" s="7"/>
      <c r="H389" s="1"/>
      <c r="I389" s="1"/>
      <c r="J389" s="1"/>
      <c r="K389" s="6"/>
      <c r="L389" s="25"/>
    </row>
    <row r="390">
      <c r="B390" s="49"/>
      <c r="C390" s="1"/>
      <c r="D390" s="25"/>
      <c r="E390" s="1"/>
      <c r="F390" s="7"/>
      <c r="G390" s="7"/>
      <c r="H390" s="1"/>
      <c r="I390" s="1"/>
      <c r="J390" s="1"/>
      <c r="K390" s="6"/>
      <c r="L390" s="25"/>
    </row>
    <row r="391">
      <c r="B391" s="49"/>
      <c r="C391" s="1"/>
      <c r="D391" s="25"/>
      <c r="E391" s="1"/>
      <c r="F391" s="7"/>
      <c r="G391" s="7"/>
      <c r="H391" s="1"/>
      <c r="I391" s="1"/>
      <c r="J391" s="1"/>
      <c r="K391" s="6"/>
      <c r="L391" s="25"/>
    </row>
    <row r="392">
      <c r="B392" s="49"/>
      <c r="C392" s="1"/>
      <c r="D392" s="25"/>
      <c r="E392" s="1"/>
      <c r="F392" s="7"/>
      <c r="G392" s="7"/>
      <c r="H392" s="1"/>
      <c r="I392" s="1"/>
      <c r="J392" s="1"/>
      <c r="K392" s="6"/>
      <c r="L392" s="25"/>
    </row>
    <row r="393">
      <c r="B393" s="49"/>
      <c r="C393" s="1"/>
      <c r="D393" s="25"/>
      <c r="E393" s="1"/>
      <c r="F393" s="7"/>
      <c r="G393" s="7"/>
      <c r="H393" s="1"/>
      <c r="I393" s="1"/>
      <c r="J393" s="1"/>
      <c r="K393" s="6"/>
      <c r="L393" s="25"/>
    </row>
    <row r="394">
      <c r="B394" s="49"/>
      <c r="C394" s="1"/>
      <c r="D394" s="25"/>
      <c r="E394" s="1"/>
      <c r="F394" s="7"/>
      <c r="G394" s="7"/>
      <c r="H394" s="1"/>
      <c r="I394" s="1"/>
      <c r="J394" s="1"/>
      <c r="K394" s="6"/>
      <c r="L394" s="25"/>
    </row>
    <row r="395">
      <c r="B395" s="184"/>
      <c r="C395" s="1"/>
      <c r="D395" s="25"/>
      <c r="E395" s="1"/>
      <c r="F395" s="7"/>
      <c r="G395" s="7"/>
      <c r="H395" s="1"/>
      <c r="I395" s="1"/>
      <c r="J395" s="6"/>
      <c r="K395" s="7"/>
    </row>
    <row r="396">
      <c r="B396" s="184"/>
      <c r="C396" s="1"/>
      <c r="D396" s="25"/>
      <c r="E396" s="1"/>
      <c r="F396" s="25"/>
      <c r="G396" s="7"/>
      <c r="H396" s="1"/>
      <c r="I396" s="1"/>
      <c r="J396" s="6"/>
      <c r="K396" s="7"/>
    </row>
    <row r="397">
      <c r="B397" s="184"/>
      <c r="C397" s="1"/>
      <c r="D397" s="25"/>
      <c r="E397" s="1"/>
      <c r="F397" s="25"/>
      <c r="G397" s="7"/>
      <c r="H397" s="1"/>
      <c r="I397" s="1"/>
      <c r="J397" s="6"/>
      <c r="K397" s="7"/>
    </row>
    <row r="398">
      <c r="B398" s="184"/>
      <c r="C398" s="1"/>
      <c r="D398" s="25"/>
      <c r="E398" s="1"/>
      <c r="F398" s="25"/>
      <c r="G398" s="7"/>
      <c r="H398" s="1"/>
      <c r="I398" s="1"/>
      <c r="J398" s="6"/>
      <c r="K398" s="7"/>
    </row>
    <row r="399">
      <c r="B399" s="184"/>
      <c r="C399" s="1"/>
      <c r="D399" s="25"/>
      <c r="E399" s="1"/>
      <c r="F399" s="25"/>
      <c r="G399" s="7"/>
      <c r="H399" s="1"/>
      <c r="I399" s="1"/>
      <c r="J399" s="6"/>
      <c r="K399" s="7"/>
    </row>
    <row r="400">
      <c r="B400" s="184"/>
      <c r="C400" s="1"/>
      <c r="D400" s="25"/>
      <c r="E400" s="1"/>
      <c r="F400" s="25"/>
      <c r="G400" s="7"/>
      <c r="H400" s="1"/>
      <c r="I400" s="1"/>
      <c r="J400" s="6"/>
      <c r="K400" s="25"/>
    </row>
    <row r="401">
      <c r="B401" s="184"/>
      <c r="C401" s="1"/>
      <c r="D401" s="25"/>
      <c r="E401" s="1"/>
      <c r="F401" s="25"/>
      <c r="G401" s="7"/>
      <c r="H401" s="1"/>
      <c r="I401" s="1"/>
      <c r="J401" s="6"/>
      <c r="K401" s="7"/>
    </row>
    <row r="402">
      <c r="B402" s="184"/>
      <c r="C402" s="1"/>
      <c r="D402" s="25"/>
      <c r="E402" s="1"/>
      <c r="F402" s="7"/>
      <c r="G402" s="7"/>
      <c r="H402" s="1"/>
      <c r="I402" s="1"/>
      <c r="J402" s="6"/>
      <c r="K402" s="7"/>
    </row>
    <row r="403">
      <c r="B403" s="184"/>
      <c r="C403" s="1"/>
      <c r="D403" s="25"/>
      <c r="E403" s="1"/>
      <c r="F403" s="25"/>
      <c r="G403" s="7"/>
      <c r="H403" s="1"/>
      <c r="I403" s="1"/>
      <c r="J403" s="6"/>
      <c r="K403" s="7"/>
    </row>
    <row r="404">
      <c r="B404" s="184"/>
      <c r="C404" s="1"/>
      <c r="D404" s="25"/>
      <c r="E404" s="1"/>
      <c r="F404" s="7"/>
      <c r="G404" s="7"/>
      <c r="H404" s="1"/>
      <c r="I404" s="1"/>
      <c r="J404" s="185"/>
      <c r="K404" s="7"/>
    </row>
    <row r="405">
      <c r="B405" s="29"/>
      <c r="C405" s="1"/>
      <c r="D405" s="25"/>
      <c r="E405" s="1"/>
      <c r="F405" s="25"/>
      <c r="G405" s="7"/>
      <c r="H405" s="1"/>
      <c r="I405" s="1"/>
      <c r="J405" s="6"/>
      <c r="K405" s="7"/>
    </row>
    <row r="406">
      <c r="B406" s="29"/>
      <c r="C406" s="1"/>
      <c r="D406" s="25"/>
      <c r="E406" s="1"/>
      <c r="F406" s="7"/>
      <c r="G406" s="7"/>
      <c r="H406" s="1"/>
      <c r="I406" s="1"/>
      <c r="J406" s="6"/>
      <c r="K406" s="7"/>
    </row>
    <row r="407">
      <c r="A407" s="155"/>
      <c r="B407" s="186"/>
      <c r="C407" s="155"/>
      <c r="D407" s="180"/>
      <c r="E407" s="155"/>
      <c r="F407" s="180"/>
      <c r="G407" s="180"/>
      <c r="H407" s="155"/>
      <c r="I407" s="155"/>
      <c r="J407" s="181"/>
      <c r="K407" s="182"/>
      <c r="L407" s="155"/>
    </row>
    <row r="408">
      <c r="B408" s="187"/>
      <c r="C408" s="1"/>
      <c r="D408" s="25"/>
      <c r="E408" s="1"/>
      <c r="F408" s="25"/>
      <c r="G408" s="7"/>
      <c r="H408" s="1"/>
      <c r="I408" s="1"/>
      <c r="J408" s="6"/>
      <c r="K408" s="7"/>
    </row>
    <row r="409">
      <c r="B409" s="187"/>
      <c r="C409" s="1"/>
      <c r="D409" s="25"/>
      <c r="E409" s="1"/>
      <c r="F409" s="25"/>
      <c r="G409" s="7"/>
      <c r="H409" s="1"/>
      <c r="I409" s="1"/>
      <c r="J409" s="6"/>
      <c r="K409" s="7"/>
    </row>
    <row r="410">
      <c r="B410" s="187"/>
      <c r="C410" s="1"/>
      <c r="D410" s="25"/>
      <c r="E410" s="1"/>
      <c r="F410" s="25"/>
      <c r="G410" s="7"/>
      <c r="H410" s="1"/>
      <c r="I410" s="1"/>
      <c r="J410" s="6"/>
      <c r="K410" s="7"/>
    </row>
    <row r="411">
      <c r="B411" s="187"/>
      <c r="C411" s="1"/>
      <c r="D411" s="25"/>
      <c r="E411" s="1"/>
      <c r="F411" s="25"/>
      <c r="G411" s="1"/>
      <c r="H411" s="1"/>
      <c r="I411" s="1"/>
      <c r="J411" s="6"/>
      <c r="K411" s="7"/>
    </row>
    <row r="412">
      <c r="B412" s="187"/>
      <c r="C412" s="1"/>
      <c r="D412" s="25"/>
      <c r="E412" s="1"/>
      <c r="F412" s="25"/>
      <c r="G412" s="7"/>
      <c r="H412" s="1"/>
      <c r="I412" s="1"/>
      <c r="J412" s="6"/>
      <c r="K412" s="7"/>
    </row>
    <row r="413">
      <c r="B413" s="187"/>
      <c r="C413" s="1"/>
      <c r="D413" s="25"/>
      <c r="E413" s="1"/>
      <c r="F413" s="25"/>
      <c r="G413" s="7"/>
      <c r="H413" s="1"/>
      <c r="I413" s="1"/>
      <c r="J413" s="6"/>
      <c r="K413" s="7"/>
    </row>
    <row r="414">
      <c r="B414" s="187"/>
      <c r="C414" s="1"/>
      <c r="D414" s="7"/>
      <c r="E414" s="1"/>
      <c r="F414" s="25"/>
      <c r="G414" s="7"/>
      <c r="H414" s="1"/>
      <c r="I414" s="1"/>
      <c r="J414" s="185"/>
      <c r="K414" s="7"/>
    </row>
    <row r="415">
      <c r="B415" s="187"/>
      <c r="C415" s="1"/>
      <c r="D415" s="25"/>
      <c r="E415" s="1"/>
      <c r="F415" s="25"/>
      <c r="G415" s="7"/>
      <c r="H415" s="1"/>
      <c r="I415" s="1"/>
      <c r="J415" s="6"/>
      <c r="K415" s="7"/>
    </row>
    <row r="416">
      <c r="A416" s="155"/>
      <c r="B416" s="188"/>
      <c r="C416" s="155"/>
      <c r="D416" s="180"/>
      <c r="E416" s="155"/>
      <c r="F416" s="180"/>
      <c r="G416" s="180"/>
      <c r="H416" s="155"/>
      <c r="I416" s="155"/>
      <c r="J416" s="155"/>
      <c r="K416" s="189"/>
      <c r="L416" s="180"/>
    </row>
    <row r="417">
      <c r="B417" s="187"/>
      <c r="C417" s="1"/>
      <c r="D417" s="7"/>
      <c r="E417" s="1"/>
      <c r="F417" s="25"/>
      <c r="G417" s="7"/>
      <c r="H417" s="1"/>
      <c r="I417" s="1"/>
      <c r="J417" s="185"/>
      <c r="K417" s="7"/>
    </row>
    <row r="418">
      <c r="B418" s="187"/>
      <c r="C418" s="1"/>
      <c r="D418" s="25"/>
      <c r="E418" s="1"/>
      <c r="F418" s="25"/>
      <c r="G418" s="7"/>
      <c r="H418" s="1"/>
      <c r="I418" s="1"/>
      <c r="J418" s="6"/>
      <c r="K418" s="7"/>
    </row>
    <row r="419">
      <c r="B419" s="187"/>
      <c r="C419" s="1"/>
      <c r="D419" s="25"/>
      <c r="E419" s="1"/>
      <c r="F419" s="25"/>
      <c r="G419" s="7"/>
      <c r="H419" s="1"/>
      <c r="I419" s="1"/>
      <c r="J419" s="26"/>
      <c r="K419" s="7"/>
    </row>
    <row r="420">
      <c r="B420" s="187"/>
      <c r="C420" s="1"/>
      <c r="D420" s="25"/>
      <c r="E420" s="1"/>
      <c r="F420" s="7"/>
      <c r="G420" s="7"/>
      <c r="H420" s="1"/>
      <c r="I420" s="1"/>
      <c r="J420" s="6"/>
      <c r="K420" s="7"/>
    </row>
    <row r="421">
      <c r="B421" s="27"/>
      <c r="C421" s="1"/>
      <c r="D421" s="25"/>
      <c r="E421" s="1"/>
      <c r="F421" s="25"/>
      <c r="G421" s="7"/>
      <c r="H421" s="1"/>
      <c r="I421" s="1"/>
      <c r="J421" s="26"/>
      <c r="K421" s="7"/>
    </row>
    <row r="422">
      <c r="B422" s="27"/>
      <c r="C422" s="1"/>
      <c r="D422" s="25"/>
      <c r="E422" s="1"/>
      <c r="F422" s="7"/>
      <c r="G422" s="7"/>
      <c r="H422" s="1"/>
      <c r="J422" s="26"/>
      <c r="K422" s="7"/>
    </row>
    <row r="423">
      <c r="B423" s="27"/>
      <c r="C423" s="1"/>
      <c r="D423" s="25"/>
      <c r="E423" s="1"/>
      <c r="F423" s="25"/>
      <c r="G423" s="7"/>
      <c r="H423" s="1"/>
      <c r="I423" s="1"/>
      <c r="J423" s="26"/>
      <c r="K423" s="7"/>
    </row>
    <row r="424">
      <c r="B424" s="27"/>
      <c r="C424" s="1"/>
      <c r="D424" s="25"/>
      <c r="E424" s="1"/>
      <c r="F424" s="25"/>
      <c r="G424" s="7"/>
      <c r="H424" s="1"/>
      <c r="I424" s="1"/>
      <c r="J424" s="26"/>
      <c r="K424" s="7"/>
    </row>
    <row r="425">
      <c r="B425" s="27"/>
      <c r="C425" s="1"/>
      <c r="D425" s="25"/>
      <c r="E425" s="1"/>
      <c r="F425" s="25"/>
      <c r="G425" s="7"/>
      <c r="H425" s="1"/>
      <c r="I425" s="1"/>
      <c r="J425" s="26"/>
      <c r="K425" s="7"/>
    </row>
    <row r="426">
      <c r="B426" s="27"/>
      <c r="C426" s="1"/>
      <c r="D426" s="25"/>
      <c r="E426" s="1"/>
      <c r="F426" s="25"/>
      <c r="G426" s="7"/>
      <c r="H426" s="1"/>
      <c r="I426" s="1"/>
      <c r="J426" s="26"/>
      <c r="K426" s="7"/>
    </row>
    <row r="427">
      <c r="A427" s="155"/>
      <c r="B427" s="190"/>
      <c r="C427" s="155"/>
      <c r="D427" s="180"/>
      <c r="E427" s="155"/>
      <c r="F427" s="180"/>
      <c r="G427" s="180"/>
      <c r="H427" s="155"/>
      <c r="I427" s="155"/>
      <c r="J427" s="181"/>
      <c r="K427" s="182"/>
      <c r="L427" s="155"/>
    </row>
    <row r="428">
      <c r="B428" s="27"/>
      <c r="C428" s="1"/>
      <c r="D428" s="25"/>
      <c r="E428" s="1"/>
      <c r="F428" s="25"/>
      <c r="G428" s="7"/>
      <c r="H428" s="1"/>
      <c r="I428" s="1"/>
      <c r="J428" s="26"/>
      <c r="K428" s="7"/>
    </row>
    <row r="429">
      <c r="B429" s="27"/>
      <c r="C429" s="1"/>
      <c r="D429" s="25"/>
      <c r="E429" s="1"/>
      <c r="F429" s="25"/>
      <c r="G429" s="7"/>
      <c r="H429" s="1"/>
      <c r="I429" s="1"/>
      <c r="J429" s="6"/>
      <c r="K429" s="7"/>
    </row>
    <row r="430">
      <c r="B430" s="27"/>
      <c r="C430" s="1"/>
      <c r="D430" s="25"/>
      <c r="E430" s="1"/>
      <c r="F430" s="25"/>
      <c r="G430" s="7"/>
      <c r="H430" s="1"/>
      <c r="I430" s="1"/>
      <c r="J430" s="26"/>
      <c r="K430" s="7"/>
    </row>
    <row r="431">
      <c r="B431" s="27"/>
      <c r="C431" s="1"/>
      <c r="D431" s="25"/>
      <c r="E431" s="1"/>
      <c r="F431" s="25"/>
      <c r="G431" s="7"/>
      <c r="H431" s="1"/>
      <c r="I431" s="1"/>
      <c r="J431" s="26"/>
      <c r="K431" s="7"/>
    </row>
    <row r="432">
      <c r="B432" s="191"/>
      <c r="C432" s="6"/>
      <c r="D432" s="25"/>
      <c r="E432" s="1"/>
      <c r="F432" s="25"/>
      <c r="G432" s="7"/>
      <c r="H432" s="1"/>
      <c r="I432" s="1"/>
      <c r="J432" s="26"/>
      <c r="K432" s="7"/>
    </row>
    <row r="433">
      <c r="B433" s="27"/>
      <c r="C433" s="1"/>
      <c r="D433" s="25"/>
      <c r="E433" s="1"/>
      <c r="F433" s="25"/>
      <c r="G433" s="7"/>
      <c r="H433" s="1"/>
      <c r="I433" s="1"/>
      <c r="J433" s="185"/>
      <c r="K433" s="7"/>
    </row>
    <row r="434">
      <c r="B434" s="27"/>
      <c r="C434" s="1"/>
      <c r="D434" s="25"/>
      <c r="E434" s="1"/>
      <c r="F434" s="25"/>
      <c r="G434" s="7"/>
      <c r="H434" s="1"/>
      <c r="I434" s="1"/>
      <c r="J434" s="6"/>
      <c r="K434" s="7"/>
    </row>
    <row r="435">
      <c r="B435" s="27"/>
      <c r="C435" s="1"/>
      <c r="D435" s="25"/>
      <c r="E435" s="1"/>
      <c r="F435" s="25"/>
      <c r="G435" s="7"/>
      <c r="H435" s="1"/>
      <c r="I435" s="1"/>
      <c r="J435" s="191"/>
      <c r="K435" s="7"/>
    </row>
    <row r="436">
      <c r="B436" s="27"/>
      <c r="C436" s="1"/>
      <c r="D436" s="25"/>
      <c r="E436" s="1"/>
      <c r="F436" s="25"/>
      <c r="G436" s="7"/>
      <c r="H436" s="1"/>
      <c r="I436" s="1"/>
      <c r="J436" s="185"/>
      <c r="K436" s="7"/>
    </row>
    <row r="437">
      <c r="B437" s="27"/>
      <c r="C437" s="1"/>
      <c r="D437" s="25"/>
      <c r="E437" s="1"/>
      <c r="F437" s="25"/>
      <c r="G437" s="7"/>
      <c r="H437" s="1"/>
      <c r="I437" s="1"/>
      <c r="J437" s="26"/>
      <c r="K437" s="25"/>
    </row>
    <row r="438">
      <c r="B438" s="27"/>
      <c r="C438" s="1"/>
      <c r="D438" s="25"/>
      <c r="E438" s="1"/>
      <c r="F438" s="25"/>
      <c r="G438" s="7"/>
      <c r="H438" s="1"/>
      <c r="I438" s="1"/>
      <c r="J438" s="185"/>
      <c r="K438" s="7"/>
    </row>
    <row r="439">
      <c r="B439" s="27"/>
      <c r="C439" s="1"/>
      <c r="D439" s="25"/>
      <c r="E439" s="1"/>
      <c r="F439" s="25"/>
      <c r="G439" s="7"/>
      <c r="H439" s="1"/>
      <c r="I439" s="1"/>
      <c r="J439" s="185"/>
      <c r="K439" s="7"/>
    </row>
    <row r="440">
      <c r="B440" s="187"/>
      <c r="C440" s="1"/>
      <c r="D440" s="25"/>
      <c r="E440" s="1"/>
      <c r="F440" s="7"/>
      <c r="G440" s="7"/>
      <c r="H440" s="1"/>
      <c r="I440" s="1"/>
      <c r="J440" s="185"/>
      <c r="K440" s="7"/>
    </row>
    <row r="441">
      <c r="B441" s="187"/>
      <c r="C441" s="1"/>
      <c r="D441" s="25"/>
      <c r="E441" s="1"/>
      <c r="F441" s="7"/>
      <c r="G441" s="7"/>
      <c r="H441" s="1"/>
      <c r="I441" s="1"/>
      <c r="J441" s="191"/>
      <c r="K441" s="7"/>
    </row>
    <row r="442">
      <c r="B442" s="187"/>
      <c r="C442" s="1"/>
      <c r="D442" s="25"/>
      <c r="E442" s="1"/>
      <c r="F442" s="25"/>
      <c r="G442" s="7"/>
      <c r="H442" s="1"/>
      <c r="I442" s="1"/>
      <c r="J442" s="185"/>
      <c r="K442" s="7"/>
    </row>
    <row r="443">
      <c r="B443" s="187"/>
      <c r="C443" s="1"/>
      <c r="D443" s="25"/>
      <c r="E443" s="1"/>
      <c r="F443" s="25"/>
      <c r="G443" s="7"/>
      <c r="H443" s="1"/>
      <c r="I443" s="1"/>
      <c r="J443" s="185"/>
      <c r="K443" s="7"/>
    </row>
    <row r="444">
      <c r="B444" s="187"/>
      <c r="C444" s="1"/>
      <c r="D444" s="25"/>
      <c r="E444" s="1"/>
      <c r="F444" s="25"/>
      <c r="G444" s="7"/>
      <c r="H444" s="1"/>
      <c r="I444" s="1"/>
      <c r="J444" s="185"/>
      <c r="K444" s="7"/>
    </row>
    <row r="445">
      <c r="B445" s="187"/>
      <c r="C445" s="1"/>
      <c r="D445" s="25"/>
      <c r="E445" s="1"/>
      <c r="F445" s="25"/>
      <c r="G445" s="7"/>
      <c r="H445" s="1"/>
      <c r="J445" s="26"/>
      <c r="K445" s="25"/>
    </row>
    <row r="446">
      <c r="B446" s="187"/>
      <c r="C446" s="1"/>
      <c r="D446" s="25"/>
      <c r="E446" s="1"/>
      <c r="F446" s="25"/>
      <c r="G446" s="7"/>
      <c r="H446" s="1"/>
      <c r="I446" s="1"/>
      <c r="J446" s="185"/>
      <c r="K446" s="7"/>
    </row>
    <row r="447">
      <c r="B447" s="187"/>
      <c r="C447" s="1"/>
      <c r="D447" s="25"/>
      <c r="E447" s="1"/>
      <c r="F447" s="25"/>
      <c r="G447" s="7"/>
      <c r="H447" s="1"/>
      <c r="I447" s="1"/>
      <c r="J447" s="185"/>
      <c r="K447" s="7"/>
    </row>
    <row r="448">
      <c r="B448" s="187"/>
      <c r="C448" s="1"/>
      <c r="D448" s="25"/>
      <c r="E448" s="1"/>
      <c r="F448" s="25"/>
      <c r="G448" s="7"/>
      <c r="H448" s="1"/>
      <c r="I448" s="1"/>
      <c r="J448" s="26"/>
      <c r="K448" s="25"/>
    </row>
    <row r="449">
      <c r="B449" s="27"/>
      <c r="C449" s="1"/>
      <c r="D449" s="25"/>
      <c r="E449" s="1"/>
      <c r="F449" s="25"/>
      <c r="G449" s="7"/>
      <c r="H449" s="1"/>
      <c r="I449" s="1"/>
      <c r="J449" s="6"/>
      <c r="K449" s="7"/>
    </row>
    <row r="450">
      <c r="B450" s="27"/>
      <c r="C450" s="1"/>
      <c r="D450" s="25"/>
      <c r="E450" s="1"/>
      <c r="F450" s="25"/>
      <c r="G450" s="7"/>
      <c r="H450" s="1"/>
      <c r="I450" s="1"/>
      <c r="J450" s="6"/>
      <c r="K450" s="7"/>
    </row>
    <row r="451">
      <c r="B451" s="27"/>
      <c r="C451" s="1"/>
      <c r="D451" s="25"/>
      <c r="E451" s="1"/>
      <c r="F451" s="25"/>
      <c r="G451" s="7"/>
      <c r="H451" s="1"/>
      <c r="I451" s="1"/>
      <c r="J451" s="6"/>
      <c r="K451" s="7"/>
    </row>
    <row r="452">
      <c r="B452" s="27"/>
      <c r="C452" s="1"/>
      <c r="D452" s="25"/>
      <c r="E452" s="1"/>
      <c r="F452" s="25"/>
      <c r="G452" s="7"/>
      <c r="H452" s="1"/>
      <c r="I452" s="1"/>
      <c r="J452" s="6"/>
      <c r="K452" s="7"/>
    </row>
    <row r="453">
      <c r="B453" s="27"/>
      <c r="C453" s="1"/>
      <c r="D453" s="25"/>
      <c r="E453" s="1"/>
      <c r="F453" s="25"/>
      <c r="G453" s="7"/>
      <c r="H453" s="1"/>
      <c r="I453" s="1"/>
      <c r="J453" s="192"/>
      <c r="K453" s="7"/>
    </row>
    <row r="454">
      <c r="B454" s="27"/>
      <c r="C454" s="1"/>
      <c r="D454" s="7"/>
      <c r="E454" s="1"/>
      <c r="F454" s="25"/>
      <c r="G454" s="7"/>
      <c r="H454" s="1"/>
      <c r="I454" s="1"/>
      <c r="J454" s="6"/>
      <c r="K454" s="7"/>
    </row>
    <row r="455">
      <c r="B455" s="27"/>
      <c r="C455" s="1"/>
      <c r="D455" s="25"/>
      <c r="E455" s="1"/>
      <c r="F455" s="25"/>
      <c r="G455" s="7"/>
      <c r="H455" s="1"/>
      <c r="I455" s="1"/>
      <c r="J455" s="192"/>
      <c r="K455" s="7"/>
    </row>
    <row r="456">
      <c r="B456" s="187"/>
      <c r="C456" s="1"/>
      <c r="D456" s="7"/>
      <c r="E456" s="1"/>
      <c r="F456" s="25"/>
      <c r="G456" s="7"/>
      <c r="H456" s="1"/>
      <c r="I456" s="1"/>
      <c r="J456" s="185"/>
      <c r="K456" s="7"/>
    </row>
    <row r="457">
      <c r="B457" s="187"/>
      <c r="C457" s="1"/>
      <c r="D457" s="7"/>
      <c r="E457" s="1"/>
      <c r="F457" s="7"/>
      <c r="G457" s="7"/>
      <c r="H457" s="1"/>
      <c r="I457" s="1"/>
      <c r="J457" s="192"/>
      <c r="K457" s="7"/>
    </row>
    <row r="458">
      <c r="B458" s="187"/>
      <c r="C458" s="1"/>
      <c r="D458" s="25"/>
      <c r="E458" s="1"/>
      <c r="F458" s="7"/>
      <c r="G458" s="7"/>
      <c r="H458" s="1"/>
      <c r="I458" s="1"/>
      <c r="J458" s="192"/>
      <c r="K458" s="7"/>
    </row>
    <row r="459">
      <c r="B459" s="187"/>
      <c r="C459" s="1"/>
      <c r="D459" s="7"/>
      <c r="E459" s="1"/>
      <c r="F459" s="7"/>
      <c r="G459" s="7"/>
      <c r="H459" s="1"/>
      <c r="I459" s="1"/>
      <c r="J459" s="192"/>
      <c r="K459" s="7"/>
    </row>
    <row r="460">
      <c r="B460" s="187"/>
      <c r="C460" s="1"/>
      <c r="D460" s="7"/>
      <c r="E460" s="1"/>
      <c r="F460" s="7"/>
      <c r="G460" s="7"/>
      <c r="H460" s="1"/>
      <c r="I460" s="1"/>
      <c r="J460" s="185"/>
      <c r="K460" s="7"/>
    </row>
    <row r="461">
      <c r="B461" s="187"/>
      <c r="C461" s="1"/>
      <c r="D461" s="7"/>
      <c r="E461" s="1"/>
      <c r="F461" s="7"/>
      <c r="G461" s="7"/>
      <c r="H461" s="1"/>
      <c r="I461" s="1"/>
      <c r="J461" s="192"/>
      <c r="K461" s="7"/>
    </row>
    <row r="462">
      <c r="B462" s="187"/>
      <c r="C462" s="1"/>
      <c r="D462" s="7"/>
      <c r="E462" s="1"/>
      <c r="F462" s="7"/>
      <c r="G462" s="7"/>
      <c r="H462" s="1"/>
      <c r="I462" s="1"/>
      <c r="J462" s="192"/>
      <c r="K462" s="7"/>
    </row>
    <row r="463">
      <c r="B463" s="187"/>
      <c r="C463" s="1"/>
      <c r="D463" s="7"/>
      <c r="E463" s="1"/>
      <c r="F463" s="7"/>
      <c r="G463" s="7"/>
      <c r="H463" s="1"/>
      <c r="I463" s="1"/>
      <c r="J463" s="185"/>
      <c r="K463" s="7"/>
    </row>
    <row r="464">
      <c r="B464" s="187"/>
      <c r="C464" s="1"/>
      <c r="D464" s="7"/>
      <c r="E464" s="1"/>
      <c r="F464" s="7"/>
      <c r="G464" s="7"/>
      <c r="H464" s="1"/>
      <c r="I464" s="1"/>
      <c r="J464" s="185"/>
      <c r="K464" s="7"/>
    </row>
    <row r="465">
      <c r="B465" s="187"/>
      <c r="C465" s="1"/>
      <c r="D465" s="7"/>
      <c r="E465" s="1"/>
      <c r="F465" s="25"/>
      <c r="G465" s="7"/>
      <c r="H465" s="1"/>
      <c r="I465" s="1"/>
      <c r="J465" s="192"/>
      <c r="K465" s="7"/>
    </row>
    <row r="466">
      <c r="B466" s="187"/>
      <c r="C466" s="1"/>
      <c r="D466" s="25"/>
      <c r="E466" s="1"/>
      <c r="F466" s="7"/>
      <c r="G466" s="7"/>
      <c r="H466" s="1"/>
      <c r="I466" s="1"/>
      <c r="J466" s="185"/>
      <c r="K466" s="7"/>
    </row>
    <row r="467">
      <c r="B467" s="187"/>
      <c r="C467" s="1"/>
      <c r="D467" s="25"/>
      <c r="E467" s="1"/>
      <c r="F467" s="25"/>
      <c r="G467" s="7"/>
      <c r="H467" s="1"/>
      <c r="I467" s="1"/>
      <c r="J467" s="185"/>
      <c r="K467" s="7"/>
    </row>
    <row r="468">
      <c r="B468" s="187"/>
      <c r="C468" s="1"/>
      <c r="D468" s="7"/>
      <c r="E468" s="1"/>
      <c r="F468" s="25"/>
      <c r="G468" s="7"/>
      <c r="H468" s="1"/>
      <c r="I468" s="1"/>
      <c r="J468" s="185"/>
      <c r="K468" s="7"/>
    </row>
    <row r="469">
      <c r="B469" s="187"/>
      <c r="C469" s="1"/>
      <c r="D469" s="25"/>
      <c r="E469" s="1"/>
      <c r="F469" s="25"/>
      <c r="G469" s="7"/>
      <c r="H469" s="1"/>
      <c r="I469" s="1"/>
      <c r="J469" s="185"/>
      <c r="K469" s="7"/>
    </row>
    <row r="470">
      <c r="A470" s="155"/>
      <c r="B470" s="188"/>
      <c r="C470" s="155"/>
      <c r="D470" s="180"/>
      <c r="E470" s="155"/>
      <c r="F470" s="180"/>
      <c r="G470" s="180"/>
      <c r="H470" s="155"/>
      <c r="I470" s="155"/>
      <c r="J470" s="181"/>
      <c r="K470" s="182"/>
      <c r="L470" s="155"/>
    </row>
    <row r="471">
      <c r="B471" s="29"/>
      <c r="C471" s="1"/>
      <c r="D471" s="25"/>
      <c r="E471" s="1"/>
      <c r="F471" s="25"/>
      <c r="G471" s="7"/>
      <c r="H471" s="1"/>
      <c r="I471" s="1"/>
      <c r="J471" s="192"/>
      <c r="K471" s="7"/>
    </row>
    <row r="472">
      <c r="B472" s="29"/>
      <c r="C472" s="1"/>
      <c r="D472" s="25"/>
      <c r="E472" s="1"/>
      <c r="F472" s="25"/>
      <c r="G472" s="7"/>
      <c r="H472" s="1"/>
      <c r="I472" s="1"/>
      <c r="J472" s="192"/>
      <c r="K472" s="7"/>
    </row>
    <row r="473">
      <c r="B473" s="29"/>
      <c r="C473" s="1"/>
      <c r="D473" s="25"/>
      <c r="E473" s="1"/>
      <c r="F473" s="7"/>
      <c r="G473" s="7"/>
      <c r="H473" s="1"/>
      <c r="I473" s="1"/>
      <c r="J473" s="192"/>
      <c r="K473" s="7"/>
    </row>
    <row r="474">
      <c r="B474" s="29"/>
      <c r="C474" s="1"/>
      <c r="D474" s="25"/>
      <c r="E474" s="1"/>
      <c r="F474" s="7"/>
      <c r="G474" s="7"/>
      <c r="H474" s="1"/>
      <c r="I474" s="1"/>
      <c r="J474" s="192"/>
      <c r="K474" s="7"/>
    </row>
    <row r="475">
      <c r="B475" s="29"/>
      <c r="C475" s="1"/>
      <c r="D475" s="25"/>
      <c r="E475" s="1"/>
      <c r="F475" s="25"/>
      <c r="G475" s="7"/>
      <c r="H475" s="1"/>
      <c r="I475" s="1"/>
      <c r="J475" s="192"/>
      <c r="K475" s="7"/>
    </row>
    <row r="476">
      <c r="B476" s="29"/>
      <c r="C476" s="1"/>
      <c r="D476" s="25"/>
      <c r="E476" s="1"/>
      <c r="F476" s="25"/>
      <c r="G476" s="7"/>
      <c r="H476" s="1"/>
      <c r="I476" s="1"/>
      <c r="J476" s="192"/>
      <c r="K476" s="7"/>
    </row>
    <row r="477">
      <c r="B477" s="29"/>
      <c r="C477" s="1"/>
      <c r="D477" s="25"/>
      <c r="E477" s="1"/>
      <c r="F477" s="25"/>
      <c r="G477" s="7"/>
      <c r="H477" s="1"/>
      <c r="I477" s="1"/>
      <c r="J477" s="192"/>
      <c r="K477" s="7"/>
    </row>
    <row r="478">
      <c r="B478" s="29"/>
      <c r="D478" s="7"/>
      <c r="E478" s="1"/>
      <c r="F478" s="25"/>
      <c r="G478" s="7"/>
      <c r="H478" s="1"/>
      <c r="I478" s="1"/>
      <c r="J478" s="192"/>
      <c r="K478" s="7"/>
    </row>
    <row r="479">
      <c r="B479" s="29"/>
      <c r="C479" s="1"/>
      <c r="D479" s="25"/>
      <c r="E479" s="1"/>
      <c r="F479" s="25"/>
      <c r="G479" s="7"/>
      <c r="H479" s="1"/>
      <c r="I479" s="1"/>
      <c r="J479" s="6"/>
      <c r="K479" s="193"/>
      <c r="L479" s="1"/>
    </row>
    <row r="480">
      <c r="B480" s="29"/>
      <c r="D480" s="25"/>
      <c r="E480" s="1"/>
      <c r="F480" s="7"/>
      <c r="G480" s="7"/>
      <c r="H480" s="1"/>
      <c r="I480" s="1"/>
      <c r="J480" s="6"/>
      <c r="K480" s="194"/>
    </row>
    <row r="481">
      <c r="B481" s="29"/>
      <c r="D481" s="7"/>
      <c r="E481" s="1"/>
      <c r="F481" s="7"/>
      <c r="G481" s="7"/>
      <c r="H481" s="1"/>
      <c r="I481" s="1"/>
      <c r="J481" s="6"/>
      <c r="K481" s="195"/>
      <c r="L481" s="1"/>
    </row>
    <row r="482">
      <c r="B482" s="29"/>
      <c r="C482" s="1"/>
      <c r="D482" s="7"/>
      <c r="E482" s="1"/>
      <c r="F482" s="25"/>
      <c r="G482" s="7"/>
      <c r="H482" s="1"/>
      <c r="I482" s="1"/>
      <c r="J482" s="6"/>
      <c r="K482" s="25"/>
    </row>
    <row r="483">
      <c r="B483" s="29"/>
      <c r="C483" s="1"/>
      <c r="D483" s="7"/>
      <c r="E483" s="1"/>
      <c r="F483" s="7"/>
      <c r="G483" s="7"/>
      <c r="H483" s="1"/>
      <c r="I483" s="1"/>
      <c r="J483" s="6"/>
      <c r="K483" s="8"/>
      <c r="L483" s="1"/>
    </row>
    <row r="484">
      <c r="B484" s="29"/>
      <c r="C484" s="1"/>
      <c r="D484" s="25"/>
      <c r="E484" s="1"/>
      <c r="F484" s="25"/>
      <c r="G484" s="7"/>
      <c r="H484" s="1"/>
      <c r="I484" s="1"/>
      <c r="J484" s="6"/>
      <c r="K484" s="8"/>
      <c r="L484" s="1"/>
    </row>
    <row r="485">
      <c r="B485" s="29"/>
      <c r="C485" s="1"/>
      <c r="D485" s="25"/>
      <c r="E485" s="1"/>
      <c r="F485" s="25"/>
      <c r="G485" s="7"/>
      <c r="H485" s="1"/>
      <c r="I485" s="1"/>
      <c r="J485" s="6"/>
      <c r="K485" s="8"/>
      <c r="L485" s="1"/>
    </row>
    <row r="486">
      <c r="B486" s="29"/>
      <c r="C486" s="1"/>
      <c r="D486" s="25"/>
      <c r="E486" s="1"/>
      <c r="F486" s="7"/>
      <c r="G486" s="7"/>
      <c r="H486" s="1"/>
      <c r="I486" s="1"/>
      <c r="J486" s="6"/>
      <c r="K486" s="8"/>
      <c r="L486" s="1"/>
    </row>
    <row r="487">
      <c r="B487" s="29"/>
      <c r="C487" s="1"/>
      <c r="D487" s="25"/>
      <c r="E487" s="1"/>
      <c r="F487" s="25"/>
      <c r="G487" s="7"/>
      <c r="H487" s="1"/>
      <c r="I487" s="1"/>
      <c r="J487" s="6"/>
      <c r="K487" s="193"/>
      <c r="L487" s="1"/>
    </row>
    <row r="488">
      <c r="A488" s="1"/>
      <c r="B488" s="29"/>
      <c r="C488" s="1"/>
      <c r="D488" s="25"/>
      <c r="E488" s="1"/>
      <c r="F488" s="25"/>
      <c r="G488" s="7"/>
      <c r="H488" s="1"/>
      <c r="I488" s="1"/>
      <c r="J488" s="6"/>
      <c r="K488" s="8"/>
      <c r="L488" s="1"/>
    </row>
    <row r="489">
      <c r="B489" s="29"/>
      <c r="C489" s="1"/>
      <c r="D489" s="25"/>
      <c r="E489" s="1"/>
      <c r="F489" s="25"/>
      <c r="G489" s="7"/>
      <c r="H489" s="1"/>
      <c r="I489" s="1"/>
      <c r="K489" s="185"/>
      <c r="L489" s="7"/>
    </row>
    <row r="490">
      <c r="B490" s="29"/>
      <c r="C490" s="1"/>
      <c r="D490" s="25"/>
      <c r="E490" s="1"/>
      <c r="F490" s="25"/>
      <c r="G490" s="7"/>
      <c r="H490" s="1"/>
      <c r="I490" s="1"/>
      <c r="J490" s="6"/>
      <c r="K490" s="8"/>
      <c r="L490" s="1"/>
    </row>
    <row r="491">
      <c r="B491" s="27"/>
      <c r="C491" s="1"/>
      <c r="D491" s="25"/>
      <c r="E491" s="1"/>
      <c r="F491" s="25"/>
      <c r="G491" s="7"/>
      <c r="H491" s="1"/>
      <c r="I491" s="1"/>
      <c r="J491" s="6"/>
      <c r="K491" s="193"/>
      <c r="L491" s="1"/>
    </row>
    <row r="492">
      <c r="B492" s="27"/>
      <c r="C492" s="1"/>
      <c r="D492" s="25"/>
      <c r="E492" s="1"/>
      <c r="F492" s="25"/>
      <c r="G492" s="7"/>
      <c r="H492" s="1"/>
      <c r="I492" s="1"/>
      <c r="J492" s="6"/>
      <c r="K492" s="193"/>
      <c r="L492" s="1"/>
    </row>
    <row r="493">
      <c r="B493" s="27"/>
      <c r="C493" s="1"/>
      <c r="D493" s="25"/>
      <c r="E493" s="1"/>
      <c r="F493" s="25"/>
      <c r="G493" s="7"/>
      <c r="H493" s="1"/>
      <c r="I493" s="1"/>
      <c r="J493" s="6"/>
      <c r="K493" s="193"/>
      <c r="L493" s="1"/>
    </row>
    <row r="494">
      <c r="B494" s="196"/>
      <c r="C494" s="1"/>
      <c r="D494" s="25"/>
      <c r="E494" s="1"/>
      <c r="F494" s="7"/>
      <c r="G494" s="7"/>
      <c r="H494" s="1"/>
      <c r="I494" s="1"/>
      <c r="J494" s="6"/>
      <c r="K494" s="193"/>
      <c r="L494" s="1"/>
    </row>
    <row r="495">
      <c r="B495" s="27"/>
      <c r="C495" s="1"/>
      <c r="D495" s="25"/>
      <c r="E495" s="1"/>
      <c r="F495" s="25"/>
      <c r="G495" s="7"/>
      <c r="H495" s="1"/>
      <c r="I495" s="1"/>
      <c r="J495" s="6"/>
      <c r="K495" s="193"/>
      <c r="L495" s="1"/>
    </row>
    <row r="496">
      <c r="B496" s="27"/>
      <c r="C496" s="1"/>
      <c r="D496" s="25"/>
      <c r="E496" s="1"/>
      <c r="F496" s="25"/>
      <c r="G496" s="7"/>
      <c r="H496" s="1"/>
      <c r="I496" s="1"/>
      <c r="J496" s="6"/>
      <c r="K496" s="193"/>
      <c r="L496" s="1"/>
    </row>
    <row r="497">
      <c r="B497" s="27"/>
      <c r="C497" s="1"/>
      <c r="D497" s="25"/>
      <c r="E497" s="1"/>
      <c r="F497" s="25"/>
      <c r="G497" s="7"/>
      <c r="H497" s="1"/>
      <c r="I497" s="1"/>
      <c r="J497" s="6"/>
      <c r="K497" s="193"/>
      <c r="L497" s="1"/>
    </row>
    <row r="498">
      <c r="B498" s="27"/>
      <c r="C498" s="1"/>
      <c r="D498" s="25"/>
      <c r="E498" s="1"/>
      <c r="F498" s="7"/>
      <c r="G498" s="7"/>
      <c r="H498" s="1"/>
      <c r="I498" s="1"/>
      <c r="J498" s="6"/>
      <c r="K498" s="194"/>
    </row>
    <row r="499">
      <c r="B499" s="27"/>
      <c r="C499" s="1"/>
      <c r="D499" s="25"/>
      <c r="E499" s="1"/>
      <c r="F499" s="7"/>
      <c r="G499" s="7"/>
      <c r="H499" s="1"/>
      <c r="I499" s="1"/>
      <c r="J499" s="6"/>
      <c r="K499" s="25"/>
    </row>
    <row r="500">
      <c r="B500" s="27"/>
      <c r="C500" s="1"/>
      <c r="D500" s="25"/>
      <c r="E500" s="1"/>
      <c r="F500" s="25"/>
      <c r="G500" s="7"/>
      <c r="I500" s="1"/>
      <c r="J500" s="6"/>
      <c r="K500" s="193"/>
      <c r="L500" s="1"/>
    </row>
    <row r="501">
      <c r="B501" s="27"/>
      <c r="C501" s="1"/>
      <c r="D501" s="25"/>
      <c r="E501" s="1"/>
      <c r="F501" s="25"/>
      <c r="G501" s="7"/>
      <c r="I501" s="1"/>
      <c r="J501" s="6"/>
      <c r="K501" s="193"/>
      <c r="L501" s="1"/>
    </row>
    <row r="502">
      <c r="A502" s="155"/>
      <c r="B502" s="190"/>
      <c r="C502" s="155"/>
      <c r="D502" s="180"/>
      <c r="E502" s="155"/>
      <c r="F502" s="180"/>
      <c r="G502" s="180"/>
      <c r="H502" s="155"/>
      <c r="I502" s="155"/>
      <c r="J502" s="181"/>
      <c r="K502" s="182"/>
      <c r="L502" s="155"/>
    </row>
    <row r="503">
      <c r="A503" s="155"/>
      <c r="B503" s="190"/>
      <c r="C503" s="155"/>
      <c r="D503" s="180"/>
      <c r="E503" s="155"/>
      <c r="F503" s="180"/>
      <c r="G503" s="180"/>
      <c r="H503" s="155"/>
      <c r="I503" s="155"/>
      <c r="J503" s="181"/>
      <c r="K503" s="182"/>
      <c r="L503" s="155"/>
    </row>
    <row r="504">
      <c r="A504" s="155"/>
      <c r="B504" s="190"/>
      <c r="C504" s="155"/>
      <c r="D504" s="180"/>
      <c r="E504" s="155"/>
      <c r="F504" s="197"/>
      <c r="G504" s="180"/>
      <c r="H504" s="155"/>
      <c r="I504" s="155"/>
      <c r="J504" s="181"/>
      <c r="K504" s="182"/>
      <c r="L504" s="155"/>
    </row>
    <row r="505">
      <c r="A505" s="155"/>
      <c r="B505" s="190"/>
      <c r="C505" s="155"/>
      <c r="D505" s="180"/>
      <c r="E505" s="155"/>
      <c r="F505" s="180"/>
      <c r="G505" s="180"/>
      <c r="H505" s="155"/>
      <c r="I505" s="155"/>
      <c r="J505" s="181"/>
      <c r="K505" s="182"/>
      <c r="L505" s="155"/>
    </row>
    <row r="506">
      <c r="A506" s="155"/>
      <c r="B506" s="190"/>
      <c r="C506" s="155"/>
      <c r="D506" s="180"/>
      <c r="E506" s="155"/>
      <c r="F506" s="180"/>
      <c r="G506" s="180"/>
      <c r="H506" s="155"/>
      <c r="I506" s="155"/>
      <c r="J506" s="181"/>
      <c r="K506" s="182"/>
      <c r="L506" s="155"/>
    </row>
    <row r="507">
      <c r="A507" s="155"/>
      <c r="B507" s="190"/>
      <c r="C507" s="155"/>
      <c r="D507" s="180"/>
      <c r="E507" s="155"/>
      <c r="F507" s="180"/>
      <c r="G507" s="180"/>
      <c r="H507" s="155"/>
      <c r="I507" s="155"/>
      <c r="J507" s="181"/>
      <c r="K507" s="182"/>
      <c r="L507" s="155"/>
    </row>
    <row r="508">
      <c r="A508" s="155"/>
      <c r="B508" s="190"/>
      <c r="C508" s="155"/>
      <c r="D508" s="180"/>
      <c r="E508" s="155"/>
      <c r="F508" s="180"/>
      <c r="G508" s="180"/>
      <c r="H508" s="155"/>
      <c r="I508" s="155"/>
      <c r="J508" s="181"/>
      <c r="K508" s="182"/>
      <c r="L508" s="155"/>
    </row>
    <row r="509">
      <c r="A509" s="198"/>
      <c r="B509" s="27"/>
      <c r="C509" s="1"/>
      <c r="D509" s="25"/>
      <c r="E509" s="1"/>
      <c r="F509" s="25"/>
      <c r="G509" s="7"/>
      <c r="H509" s="1"/>
      <c r="J509" s="1"/>
      <c r="K509" s="185"/>
      <c r="L509" s="7"/>
    </row>
    <row r="510">
      <c r="B510" s="163"/>
      <c r="D510" s="25"/>
      <c r="F510" s="25"/>
      <c r="G510" s="25"/>
      <c r="K510" s="199"/>
    </row>
    <row r="511">
      <c r="B511" s="27"/>
      <c r="C511" s="1"/>
      <c r="D511" s="25"/>
      <c r="E511" s="1"/>
      <c r="F511" s="25"/>
      <c r="G511" s="7"/>
      <c r="H511" s="1"/>
      <c r="J511" s="1"/>
      <c r="K511" s="198"/>
      <c r="L511" s="1"/>
    </row>
    <row r="512">
      <c r="B512" s="163"/>
      <c r="C512" s="164"/>
      <c r="D512" s="25"/>
      <c r="E512" s="164"/>
      <c r="F512" s="25"/>
      <c r="G512" s="165"/>
      <c r="H512" s="164"/>
      <c r="J512" s="164"/>
      <c r="K512" s="198"/>
      <c r="L512" s="1"/>
    </row>
    <row r="513">
      <c r="B513" s="163"/>
      <c r="D513" s="25"/>
      <c r="F513" s="25"/>
      <c r="G513" s="165"/>
      <c r="K513" s="200"/>
      <c r="L513" s="1"/>
    </row>
    <row r="514">
      <c r="A514" s="155"/>
      <c r="B514" s="190"/>
      <c r="C514" s="155"/>
      <c r="D514" s="197"/>
      <c r="E514" s="155"/>
      <c r="F514" s="197"/>
      <c r="G514" s="180"/>
      <c r="H514" s="155"/>
      <c r="I514" s="155"/>
      <c r="J514" s="155"/>
      <c r="K514" s="189"/>
      <c r="L514" s="180"/>
    </row>
    <row r="515">
      <c r="A515" s="155"/>
      <c r="B515" s="190"/>
      <c r="C515" s="155"/>
      <c r="D515" s="180"/>
      <c r="E515" s="155"/>
      <c r="F515" s="180"/>
      <c r="G515" s="180"/>
      <c r="H515" s="155"/>
      <c r="I515" s="155"/>
      <c r="J515" s="155"/>
      <c r="K515" s="189"/>
      <c r="L515" s="180"/>
    </row>
    <row r="516">
      <c r="A516" s="155"/>
      <c r="B516" s="188"/>
      <c r="C516" s="155"/>
      <c r="D516" s="180"/>
      <c r="E516" s="155"/>
      <c r="F516" s="180"/>
      <c r="G516" s="180"/>
      <c r="H516" s="155"/>
      <c r="I516" s="155"/>
      <c r="J516" s="155"/>
      <c r="K516" s="189"/>
      <c r="L516" s="180"/>
    </row>
    <row r="517">
      <c r="A517" s="155"/>
      <c r="B517" s="188"/>
      <c r="C517" s="155"/>
      <c r="D517" s="180"/>
      <c r="E517" s="155"/>
      <c r="F517" s="180"/>
      <c r="G517" s="180"/>
      <c r="H517" s="155"/>
      <c r="I517" s="155"/>
      <c r="J517" s="155"/>
      <c r="K517" s="189"/>
      <c r="L517" s="180"/>
    </row>
    <row r="518">
      <c r="A518" s="155"/>
      <c r="B518" s="188"/>
      <c r="C518" s="155"/>
      <c r="D518" s="197"/>
      <c r="E518" s="155"/>
      <c r="F518" s="180"/>
      <c r="G518" s="180"/>
      <c r="H518" s="155"/>
      <c r="I518" s="155"/>
      <c r="J518" s="155"/>
      <c r="K518" s="189"/>
      <c r="L518" s="180"/>
    </row>
    <row r="519">
      <c r="B519" s="201"/>
      <c r="D519" s="25"/>
      <c r="F519" s="25"/>
      <c r="G519" s="25"/>
      <c r="K519" s="170"/>
    </row>
    <row r="520">
      <c r="A520" s="155"/>
      <c r="B520" s="188"/>
      <c r="C520" s="155"/>
      <c r="D520" s="180"/>
      <c r="E520" s="155"/>
      <c r="F520" s="180"/>
      <c r="G520" s="180"/>
      <c r="H520" s="155"/>
      <c r="I520" s="155"/>
      <c r="J520" s="155"/>
      <c r="K520" s="189"/>
      <c r="L520" s="180"/>
    </row>
    <row r="521">
      <c r="A521" s="155"/>
      <c r="B521" s="188"/>
      <c r="C521" s="155"/>
      <c r="D521" s="180"/>
      <c r="E521" s="155"/>
      <c r="F521" s="180"/>
      <c r="G521" s="180"/>
      <c r="H521" s="155"/>
      <c r="I521" s="155"/>
      <c r="J521" s="155"/>
      <c r="K521" s="189"/>
      <c r="L521" s="180"/>
    </row>
    <row r="522">
      <c r="A522" s="155"/>
      <c r="B522" s="188"/>
      <c r="C522" s="155"/>
      <c r="D522" s="180"/>
      <c r="E522" s="155"/>
      <c r="F522" s="180"/>
      <c r="G522" s="180"/>
      <c r="H522" s="155"/>
      <c r="I522" s="155"/>
      <c r="J522" s="155"/>
      <c r="K522" s="189"/>
      <c r="L522" s="180"/>
    </row>
    <row r="523">
      <c r="A523" s="155"/>
      <c r="B523" s="188"/>
      <c r="C523" s="155"/>
      <c r="D523" s="180"/>
      <c r="E523" s="155"/>
      <c r="F523" s="180"/>
      <c r="G523" s="180"/>
      <c r="H523" s="155"/>
      <c r="I523" s="155"/>
      <c r="J523" s="155"/>
      <c r="K523" s="189"/>
      <c r="L523" s="180"/>
    </row>
    <row r="524">
      <c r="B524" s="187"/>
      <c r="C524" s="1"/>
      <c r="D524" s="25"/>
      <c r="E524" s="1"/>
      <c r="F524" s="25"/>
      <c r="G524" s="7"/>
      <c r="H524" s="1"/>
      <c r="I524" s="1"/>
      <c r="J524" s="1"/>
      <c r="K524" s="14"/>
      <c r="L524" s="1"/>
    </row>
    <row r="525">
      <c r="B525" s="187"/>
      <c r="C525" s="1"/>
      <c r="D525" s="25"/>
      <c r="E525" s="1"/>
      <c r="F525" s="25"/>
      <c r="G525" s="7"/>
      <c r="H525" s="1"/>
      <c r="I525" s="1"/>
      <c r="J525" s="1"/>
      <c r="K525" s="198"/>
      <c r="L525" s="1"/>
    </row>
    <row r="526">
      <c r="B526" s="201"/>
      <c r="D526" s="25"/>
      <c r="F526" s="25"/>
      <c r="G526" s="165"/>
      <c r="K526" s="192"/>
      <c r="L526" s="7"/>
    </row>
    <row r="527">
      <c r="B527" s="187"/>
      <c r="C527" s="1"/>
      <c r="D527" s="25"/>
      <c r="E527" s="1"/>
      <c r="F527" s="25"/>
      <c r="G527" s="7"/>
      <c r="H527" s="1"/>
      <c r="I527" s="1"/>
      <c r="J527" s="1"/>
      <c r="K527" s="198"/>
      <c r="L527" s="1"/>
    </row>
    <row r="528">
      <c r="B528" s="187"/>
      <c r="C528" s="1"/>
      <c r="D528" s="25"/>
      <c r="E528" s="1"/>
      <c r="F528" s="25"/>
      <c r="G528" s="7"/>
      <c r="H528" s="1"/>
      <c r="I528" s="1"/>
      <c r="J528" s="1"/>
      <c r="K528" s="14"/>
      <c r="L528" s="1"/>
    </row>
    <row r="529">
      <c r="B529" s="187"/>
      <c r="C529" s="1"/>
      <c r="D529" s="25"/>
      <c r="E529" s="1"/>
      <c r="F529" s="25"/>
      <c r="G529" s="7"/>
      <c r="H529" s="1"/>
      <c r="J529" s="1"/>
      <c r="K529" s="198"/>
      <c r="L529" s="1"/>
    </row>
    <row r="530">
      <c r="B530" s="187"/>
      <c r="C530" s="1"/>
      <c r="D530" s="25"/>
      <c r="E530" s="1"/>
      <c r="F530" s="25"/>
      <c r="G530" s="7"/>
      <c r="H530" s="1"/>
      <c r="I530" s="1"/>
      <c r="J530" s="1"/>
      <c r="K530" s="14"/>
      <c r="L530" s="1"/>
    </row>
    <row r="531">
      <c r="B531" s="187"/>
      <c r="C531" s="1"/>
      <c r="D531" s="25"/>
      <c r="E531" s="1"/>
      <c r="F531" s="25"/>
      <c r="G531" s="7"/>
      <c r="H531" s="1"/>
      <c r="I531" s="1"/>
      <c r="J531" s="1"/>
      <c r="K531" s="198"/>
      <c r="L531" s="1"/>
    </row>
    <row r="532">
      <c r="B532" s="27"/>
      <c r="C532" s="1"/>
      <c r="D532" s="25"/>
      <c r="E532" s="1"/>
      <c r="F532" s="25"/>
      <c r="G532" s="7"/>
      <c r="H532" s="1"/>
      <c r="I532" s="1"/>
      <c r="J532" s="1"/>
      <c r="K532" s="14"/>
      <c r="L532" s="1"/>
    </row>
    <row r="533">
      <c r="B533" s="201"/>
      <c r="D533" s="25"/>
      <c r="F533" s="25"/>
      <c r="G533" s="165"/>
      <c r="K533" s="185"/>
      <c r="L533" s="7"/>
    </row>
    <row r="534">
      <c r="B534" s="201"/>
      <c r="D534" s="25"/>
      <c r="F534" s="25"/>
      <c r="G534" s="25"/>
      <c r="K534" s="199"/>
    </row>
    <row r="535">
      <c r="B535" s="201"/>
      <c r="D535" s="25"/>
      <c r="F535" s="25"/>
      <c r="G535" s="25"/>
      <c r="K535" s="199"/>
    </row>
    <row r="536">
      <c r="B536" s="201"/>
      <c r="D536" s="25"/>
      <c r="F536" s="25"/>
      <c r="G536" s="25"/>
      <c r="K536" s="199"/>
    </row>
    <row r="537">
      <c r="B537" s="29"/>
      <c r="C537" s="1"/>
      <c r="D537" s="25"/>
      <c r="E537" s="1"/>
      <c r="F537" s="7"/>
      <c r="G537" s="7"/>
      <c r="H537" s="1"/>
      <c r="I537" s="1"/>
      <c r="J537" s="1"/>
      <c r="K537" s="192"/>
      <c r="L537" s="7"/>
    </row>
    <row r="538">
      <c r="B538" s="29"/>
      <c r="C538" s="1"/>
      <c r="D538" s="25"/>
      <c r="E538" s="1"/>
      <c r="F538" s="7"/>
      <c r="G538" s="7"/>
      <c r="H538" s="1"/>
      <c r="I538" s="1"/>
      <c r="J538" s="1"/>
      <c r="K538" s="192"/>
      <c r="L538" s="25"/>
    </row>
    <row r="539">
      <c r="B539" s="29"/>
      <c r="C539" s="1"/>
      <c r="D539" s="25"/>
      <c r="E539" s="1"/>
      <c r="F539" s="7"/>
      <c r="G539" s="7"/>
      <c r="H539" s="1"/>
      <c r="I539" s="1"/>
      <c r="J539" s="1"/>
      <c r="K539" s="192"/>
      <c r="L539" s="7"/>
    </row>
    <row r="540">
      <c r="B540" s="29"/>
      <c r="C540" s="1"/>
      <c r="D540" s="25"/>
      <c r="E540" s="1"/>
      <c r="F540" s="25"/>
      <c r="G540" s="7"/>
      <c r="H540" s="1"/>
      <c r="I540" s="1"/>
      <c r="J540" s="1"/>
      <c r="K540" s="192"/>
      <c r="L540" s="7"/>
    </row>
    <row r="541">
      <c r="B541" s="29"/>
      <c r="C541" s="1"/>
      <c r="D541" s="25"/>
      <c r="E541" s="1"/>
      <c r="F541" s="25"/>
      <c r="G541" s="7"/>
      <c r="H541" s="1"/>
      <c r="I541" s="1"/>
      <c r="J541" s="1"/>
      <c r="K541" s="192"/>
      <c r="L541" s="7"/>
    </row>
    <row r="542">
      <c r="A542" s="1"/>
      <c r="B542" s="202"/>
      <c r="D542" s="25"/>
      <c r="F542" s="25"/>
      <c r="G542" s="165"/>
      <c r="K542" s="185"/>
      <c r="L542" s="7"/>
    </row>
    <row r="543">
      <c r="B543" s="202"/>
      <c r="D543" s="25"/>
      <c r="F543" s="25"/>
      <c r="G543" s="25"/>
      <c r="K543" s="170"/>
    </row>
    <row r="544">
      <c r="B544" s="202"/>
      <c r="D544" s="25"/>
      <c r="F544" s="25"/>
      <c r="G544" s="25"/>
      <c r="K544" s="170"/>
    </row>
    <row r="545">
      <c r="B545" s="202"/>
      <c r="D545" s="25"/>
      <c r="F545" s="25"/>
      <c r="G545" s="25"/>
      <c r="K545" s="170"/>
    </row>
    <row r="546">
      <c r="B546" s="202"/>
      <c r="D546" s="25"/>
      <c r="F546" s="25"/>
      <c r="G546" s="25"/>
      <c r="K546" s="170"/>
    </row>
    <row r="547">
      <c r="B547" s="202"/>
      <c r="D547" s="25"/>
      <c r="F547" s="25"/>
      <c r="G547" s="25"/>
      <c r="K547" s="170"/>
    </row>
    <row r="548">
      <c r="B548" s="202"/>
      <c r="D548" s="25"/>
      <c r="F548" s="25"/>
      <c r="G548" s="25"/>
      <c r="K548" s="170"/>
    </row>
    <row r="549">
      <c r="B549" s="202"/>
      <c r="D549" s="25"/>
      <c r="F549" s="25"/>
      <c r="G549" s="25"/>
      <c r="K549" s="170"/>
    </row>
    <row r="550">
      <c r="B550" s="202"/>
      <c r="D550" s="25"/>
      <c r="F550" s="25"/>
      <c r="G550" s="25"/>
      <c r="K550" s="170"/>
    </row>
    <row r="551">
      <c r="B551" s="202"/>
      <c r="D551" s="25"/>
      <c r="F551" s="25"/>
      <c r="G551" s="25"/>
      <c r="K551" s="170"/>
    </row>
    <row r="552">
      <c r="B552" s="202"/>
      <c r="D552" s="25"/>
      <c r="F552" s="25"/>
      <c r="G552" s="25"/>
      <c r="K552" s="170"/>
    </row>
    <row r="553">
      <c r="B553" s="202"/>
      <c r="D553" s="25"/>
      <c r="F553" s="25"/>
      <c r="G553" s="25"/>
      <c r="K553" s="170"/>
    </row>
    <row r="554">
      <c r="B554" s="202"/>
      <c r="D554" s="25"/>
      <c r="F554" s="25"/>
      <c r="G554" s="25"/>
      <c r="K554" s="170"/>
    </row>
    <row r="555">
      <c r="B555" s="202"/>
      <c r="D555" s="25"/>
      <c r="F555" s="25"/>
      <c r="G555" s="25"/>
      <c r="K555" s="170"/>
    </row>
    <row r="556">
      <c r="B556" s="202"/>
      <c r="D556" s="25"/>
      <c r="F556" s="25"/>
      <c r="G556" s="25"/>
      <c r="K556" s="199"/>
    </row>
    <row r="557">
      <c r="B557" s="202"/>
      <c r="D557" s="25"/>
      <c r="F557" s="25"/>
      <c r="G557" s="25"/>
      <c r="K557" s="170"/>
    </row>
    <row r="558">
      <c r="B558" s="202"/>
      <c r="D558" s="25"/>
      <c r="F558" s="25"/>
      <c r="G558" s="25"/>
      <c r="K558" s="199"/>
    </row>
    <row r="559">
      <c r="B559" s="202"/>
      <c r="D559" s="25"/>
      <c r="F559" s="25"/>
      <c r="G559" s="25"/>
      <c r="K559" s="170"/>
    </row>
    <row r="560">
      <c r="B560" s="202"/>
      <c r="D560" s="25"/>
      <c r="F560" s="25"/>
      <c r="G560" s="25"/>
      <c r="K560" s="170"/>
    </row>
    <row r="561">
      <c r="B561" s="202"/>
      <c r="D561" s="25"/>
      <c r="F561" s="25"/>
      <c r="G561" s="25"/>
      <c r="K561" s="199"/>
    </row>
    <row r="562">
      <c r="B562" s="202"/>
      <c r="D562" s="25"/>
      <c r="F562" s="25"/>
      <c r="G562" s="25"/>
      <c r="K562" s="170"/>
    </row>
    <row r="563">
      <c r="B563" s="202"/>
      <c r="D563" s="25"/>
      <c r="F563" s="25"/>
      <c r="G563" s="25"/>
      <c r="K563" s="170"/>
    </row>
    <row r="564">
      <c r="B564" s="201"/>
      <c r="D564" s="25"/>
      <c r="F564" s="25"/>
      <c r="G564" s="25"/>
      <c r="K564" s="199"/>
    </row>
    <row r="565">
      <c r="B565" s="201"/>
      <c r="D565" s="25"/>
      <c r="F565" s="25"/>
      <c r="G565" s="25"/>
      <c r="K565" s="199"/>
    </row>
    <row r="566">
      <c r="B566" s="201"/>
      <c r="D566" s="25"/>
      <c r="F566" s="25"/>
      <c r="G566" s="25"/>
      <c r="K566" s="199"/>
    </row>
    <row r="567">
      <c r="B567" s="187"/>
      <c r="C567" s="1"/>
      <c r="D567" s="25"/>
      <c r="E567" s="1"/>
      <c r="F567" s="25"/>
      <c r="G567" s="7"/>
      <c r="H567" s="1"/>
      <c r="I567" s="1"/>
      <c r="J567" s="1"/>
      <c r="K567" s="185"/>
      <c r="L567" s="7"/>
    </row>
    <row r="568">
      <c r="B568" s="187"/>
      <c r="C568" s="1"/>
      <c r="D568" s="25"/>
      <c r="E568" s="1"/>
      <c r="F568" s="7"/>
      <c r="G568" s="7"/>
      <c r="H568" s="1"/>
      <c r="I568" s="1"/>
      <c r="J568" s="1"/>
      <c r="K568" s="192"/>
      <c r="L568" s="7"/>
    </row>
    <row r="569">
      <c r="B569" s="187"/>
      <c r="C569" s="1"/>
      <c r="D569" s="25"/>
      <c r="E569" s="1"/>
      <c r="F569" s="25"/>
      <c r="G569" s="7"/>
      <c r="H569" s="1"/>
      <c r="I569" s="1"/>
      <c r="J569" s="1"/>
      <c r="K569" s="191"/>
      <c r="L569" s="7"/>
    </row>
    <row r="570">
      <c r="B570" s="187"/>
      <c r="C570" s="1"/>
      <c r="D570" s="25"/>
      <c r="E570" s="1"/>
      <c r="F570" s="7"/>
      <c r="G570" s="7"/>
      <c r="H570" s="1"/>
      <c r="I570" s="1"/>
      <c r="J570" s="1"/>
      <c r="K570" s="185"/>
      <c r="L570" s="7"/>
    </row>
    <row r="571">
      <c r="B571" s="27"/>
      <c r="C571" s="1"/>
      <c r="D571" s="25"/>
      <c r="E571" s="1"/>
      <c r="F571" s="25"/>
      <c r="G571" s="7"/>
      <c r="H571" s="1"/>
      <c r="I571" s="1"/>
      <c r="J571" s="1"/>
      <c r="K571" s="191"/>
      <c r="L571" s="7"/>
    </row>
    <row r="572">
      <c r="B572" s="29"/>
      <c r="C572" s="1"/>
      <c r="D572" s="25"/>
      <c r="E572" s="1"/>
      <c r="F572" s="7"/>
      <c r="G572" s="7"/>
      <c r="H572" s="1"/>
      <c r="I572" s="1"/>
      <c r="J572" s="1"/>
      <c r="K572" s="185"/>
      <c r="L572" s="7"/>
    </row>
    <row r="573">
      <c r="B573" s="29"/>
      <c r="C573" s="1"/>
      <c r="D573" s="25"/>
      <c r="E573" s="1"/>
      <c r="F573" s="25"/>
      <c r="G573" s="7"/>
      <c r="H573" s="1"/>
      <c r="I573" s="1"/>
      <c r="J573" s="1"/>
      <c r="K573" s="192"/>
      <c r="L573" s="7"/>
    </row>
    <row r="574">
      <c r="A574" s="203"/>
      <c r="B574" s="188"/>
      <c r="C574" s="155"/>
      <c r="D574" s="180"/>
      <c r="E574" s="155"/>
      <c r="F574" s="180"/>
      <c r="G574" s="180"/>
      <c r="H574" s="155"/>
      <c r="I574" s="155"/>
      <c r="J574" s="155"/>
      <c r="K574" s="189"/>
      <c r="L574" s="180"/>
    </row>
    <row r="575">
      <c r="A575" s="155"/>
      <c r="B575" s="190"/>
      <c r="C575" s="155"/>
      <c r="D575" s="180"/>
      <c r="E575" s="155"/>
      <c r="F575" s="180"/>
      <c r="G575" s="180"/>
      <c r="H575" s="155"/>
      <c r="I575" s="155"/>
      <c r="J575" s="155"/>
      <c r="K575" s="204"/>
      <c r="L575" s="180"/>
    </row>
    <row r="576">
      <c r="A576" s="155"/>
      <c r="B576" s="186"/>
      <c r="C576" s="155"/>
      <c r="D576" s="180"/>
      <c r="E576" s="155"/>
      <c r="F576" s="180"/>
      <c r="G576" s="180"/>
      <c r="H576" s="155"/>
      <c r="I576" s="155"/>
      <c r="J576" s="155"/>
      <c r="K576" s="181"/>
      <c r="L576" s="180"/>
    </row>
    <row r="577">
      <c r="A577" s="155"/>
      <c r="B577" s="188"/>
      <c r="C577" s="155"/>
      <c r="D577" s="180"/>
      <c r="E577" s="155"/>
      <c r="F577" s="180"/>
      <c r="G577" s="180"/>
      <c r="H577" s="155"/>
      <c r="I577" s="155"/>
      <c r="J577" s="155"/>
      <c r="K577" s="189"/>
      <c r="L577" s="180"/>
    </row>
    <row r="578">
      <c r="A578" s="155"/>
      <c r="B578" s="188"/>
      <c r="C578" s="155"/>
      <c r="D578" s="180"/>
      <c r="E578" s="155"/>
      <c r="F578" s="180"/>
      <c r="G578" s="180"/>
      <c r="H578" s="155"/>
      <c r="I578" s="155"/>
      <c r="J578" s="155"/>
      <c r="K578" s="189"/>
      <c r="L578" s="180"/>
    </row>
    <row r="579">
      <c r="A579" s="155"/>
      <c r="B579" s="186"/>
      <c r="C579" s="155"/>
      <c r="D579" s="180"/>
      <c r="E579" s="155"/>
      <c r="F579" s="197"/>
      <c r="G579" s="180"/>
      <c r="H579" s="155"/>
      <c r="I579" s="155"/>
      <c r="J579" s="155"/>
      <c r="K579" s="204"/>
      <c r="L579" s="180"/>
    </row>
    <row r="580">
      <c r="A580" s="155"/>
      <c r="B580" s="186"/>
      <c r="C580" s="155"/>
      <c r="D580" s="180"/>
      <c r="E580" s="155"/>
      <c r="F580" s="180"/>
      <c r="G580" s="180"/>
      <c r="H580" s="155"/>
      <c r="I580" s="155"/>
      <c r="J580" s="155"/>
      <c r="K580" s="204"/>
      <c r="L580" s="180"/>
    </row>
    <row r="581">
      <c r="A581" s="155"/>
      <c r="B581" s="186"/>
      <c r="C581" s="155"/>
      <c r="D581" s="197"/>
      <c r="E581" s="155"/>
      <c r="F581" s="180"/>
      <c r="G581" s="180"/>
      <c r="H581" s="155"/>
      <c r="I581" s="155"/>
      <c r="J581" s="155"/>
      <c r="K581" s="204"/>
      <c r="L581" s="180"/>
    </row>
    <row r="582">
      <c r="A582" s="155"/>
      <c r="B582" s="186"/>
      <c r="C582" s="155"/>
      <c r="D582" s="197"/>
      <c r="E582" s="155"/>
      <c r="F582" s="180"/>
      <c r="G582" s="180"/>
      <c r="H582" s="155"/>
      <c r="I582" s="155"/>
      <c r="J582" s="155"/>
      <c r="K582" s="204"/>
      <c r="L582" s="180"/>
    </row>
    <row r="583">
      <c r="A583" s="155"/>
      <c r="B583" s="186"/>
      <c r="C583" s="155"/>
      <c r="D583" s="180"/>
      <c r="E583" s="155"/>
      <c r="F583" s="180"/>
      <c r="G583" s="180"/>
      <c r="H583" s="155"/>
      <c r="I583" s="155"/>
      <c r="J583" s="155"/>
      <c r="K583" s="204"/>
      <c r="L583" s="180"/>
    </row>
    <row r="584">
      <c r="A584" s="155"/>
      <c r="B584" s="186"/>
      <c r="C584" s="155"/>
      <c r="D584" s="180"/>
      <c r="E584" s="155"/>
      <c r="F584" s="180"/>
      <c r="G584" s="180"/>
      <c r="H584" s="155"/>
      <c r="I584" s="155"/>
      <c r="J584" s="155"/>
      <c r="K584" s="189"/>
      <c r="L584" s="180"/>
    </row>
    <row r="585">
      <c r="A585" s="155"/>
      <c r="B585" s="186"/>
      <c r="C585" s="155"/>
      <c r="D585" s="180"/>
      <c r="E585" s="155"/>
      <c r="F585" s="180"/>
      <c r="G585" s="180"/>
      <c r="H585" s="155"/>
      <c r="I585" s="155"/>
      <c r="J585" s="155"/>
      <c r="K585" s="189"/>
      <c r="L585" s="180"/>
    </row>
    <row r="586">
      <c r="A586" s="155"/>
      <c r="B586" s="186"/>
      <c r="C586" s="155"/>
      <c r="D586" s="180"/>
      <c r="E586" s="155"/>
      <c r="F586" s="180"/>
      <c r="G586" s="180"/>
      <c r="H586" s="155"/>
      <c r="I586" s="155"/>
      <c r="J586" s="155"/>
      <c r="K586" s="204"/>
      <c r="L586" s="180"/>
    </row>
    <row r="587">
      <c r="A587" s="155"/>
      <c r="B587" s="186"/>
      <c r="C587" s="155"/>
      <c r="D587" s="180"/>
      <c r="E587" s="155"/>
      <c r="F587" s="180"/>
      <c r="G587" s="180"/>
      <c r="H587" s="155"/>
      <c r="I587" s="155"/>
      <c r="J587" s="155"/>
      <c r="K587" s="204"/>
      <c r="L587" s="180"/>
    </row>
    <row r="588">
      <c r="A588" s="155"/>
      <c r="B588" s="186"/>
      <c r="C588" s="155"/>
      <c r="D588" s="180"/>
      <c r="E588" s="155"/>
      <c r="F588" s="180"/>
      <c r="G588" s="180"/>
      <c r="H588" s="155"/>
      <c r="I588" s="155"/>
      <c r="J588" s="155"/>
      <c r="K588" s="189"/>
      <c r="L588" s="180"/>
    </row>
    <row r="589">
      <c r="A589" s="155"/>
      <c r="B589" s="186"/>
      <c r="C589" s="155"/>
      <c r="D589" s="180"/>
      <c r="E589" s="155"/>
      <c r="F589" s="180"/>
      <c r="G589" s="180"/>
      <c r="H589" s="155"/>
      <c r="I589" s="155"/>
      <c r="J589" s="155"/>
      <c r="K589" s="204"/>
      <c r="L589" s="180"/>
    </row>
    <row r="590">
      <c r="A590" s="155"/>
      <c r="B590" s="186"/>
      <c r="C590" s="155"/>
      <c r="D590" s="180"/>
      <c r="E590" s="155"/>
      <c r="F590" s="180"/>
      <c r="G590" s="180"/>
      <c r="H590" s="155"/>
      <c r="I590" s="155"/>
      <c r="J590" s="155"/>
      <c r="K590" s="204"/>
      <c r="L590" s="180"/>
    </row>
    <row r="591">
      <c r="B591" s="29"/>
      <c r="C591" s="1"/>
      <c r="D591" s="25"/>
      <c r="E591" s="1"/>
      <c r="F591" s="25"/>
      <c r="G591" s="7"/>
      <c r="H591" s="1"/>
      <c r="I591" s="1"/>
      <c r="J591" s="1"/>
      <c r="K591" s="192"/>
      <c r="L591" s="7"/>
    </row>
    <row r="592">
      <c r="B592" s="29"/>
      <c r="C592" s="1"/>
      <c r="D592" s="25"/>
      <c r="E592" s="1"/>
      <c r="F592" s="1"/>
      <c r="G592" s="7"/>
      <c r="H592" s="1"/>
      <c r="I592" s="1"/>
      <c r="J592" s="1"/>
      <c r="K592" s="192"/>
      <c r="L592" s="7"/>
    </row>
    <row r="593">
      <c r="B593" s="29"/>
      <c r="C593" s="1"/>
      <c r="D593" s="7"/>
      <c r="E593" s="1"/>
      <c r="F593" s="205"/>
      <c r="G593" s="7"/>
      <c r="H593" s="1"/>
      <c r="I593" s="1"/>
      <c r="J593" s="1"/>
      <c r="K593" s="192"/>
      <c r="L593" s="7"/>
    </row>
    <row r="594">
      <c r="B594" s="29"/>
      <c r="C594" s="1"/>
      <c r="D594" s="25"/>
      <c r="E594" s="1"/>
      <c r="F594" s="25"/>
      <c r="G594" s="7"/>
      <c r="H594" s="1"/>
      <c r="I594" s="1"/>
      <c r="J594" s="1"/>
      <c r="K594" s="192"/>
      <c r="L594" s="7"/>
    </row>
    <row r="595">
      <c r="B595" s="29"/>
      <c r="C595" s="1"/>
      <c r="D595" s="25"/>
      <c r="E595" s="1"/>
      <c r="F595" s="25"/>
      <c r="G595" s="7"/>
      <c r="H595" s="1"/>
      <c r="I595" s="1"/>
      <c r="J595" s="1"/>
      <c r="K595" s="191"/>
      <c r="L595" s="7"/>
    </row>
    <row r="596">
      <c r="B596" s="29"/>
      <c r="C596" s="1"/>
      <c r="D596" s="25"/>
      <c r="E596" s="1"/>
      <c r="F596" s="25"/>
      <c r="G596" s="7"/>
      <c r="H596" s="1"/>
      <c r="I596" s="1"/>
      <c r="J596" s="1"/>
      <c r="K596" s="191"/>
      <c r="L596" s="7"/>
    </row>
    <row r="597">
      <c r="B597" s="29"/>
      <c r="C597" s="1"/>
      <c r="D597" s="7"/>
      <c r="E597" s="1"/>
      <c r="F597" s="7"/>
      <c r="G597" s="7"/>
      <c r="H597" s="1"/>
      <c r="I597" s="1"/>
      <c r="J597" s="1"/>
      <c r="K597" s="185"/>
      <c r="L597" s="7"/>
    </row>
    <row r="598">
      <c r="B598" s="29"/>
      <c r="C598" s="1"/>
      <c r="D598" s="7"/>
      <c r="E598" s="1"/>
      <c r="F598" s="7"/>
      <c r="G598" s="7"/>
      <c r="H598" s="1"/>
      <c r="I598" s="1"/>
      <c r="J598" s="1"/>
      <c r="K598" s="192"/>
      <c r="L598" s="7"/>
    </row>
    <row r="599">
      <c r="B599" s="29"/>
      <c r="C599" s="1"/>
      <c r="D599" s="25"/>
      <c r="E599" s="1"/>
      <c r="F599" s="7"/>
      <c r="G599" s="7"/>
      <c r="H599" s="1"/>
      <c r="I599" s="1"/>
      <c r="J599" s="1"/>
      <c r="K599" s="185"/>
      <c r="L599" s="7"/>
    </row>
    <row r="600">
      <c r="A600" s="155"/>
      <c r="B600" s="186"/>
      <c r="C600" s="155"/>
      <c r="D600" s="180"/>
      <c r="E600" s="155"/>
      <c r="F600" s="180"/>
      <c r="G600" s="180"/>
      <c r="H600" s="155"/>
      <c r="I600" s="155"/>
      <c r="J600" s="155"/>
      <c r="K600" s="204"/>
      <c r="L600" s="180"/>
    </row>
    <row r="601">
      <c r="A601" s="155"/>
      <c r="B601" s="186"/>
      <c r="C601" s="155"/>
      <c r="D601" s="180"/>
      <c r="E601" s="155"/>
      <c r="F601" s="180"/>
      <c r="G601" s="180"/>
      <c r="H601" s="155"/>
      <c r="I601" s="155"/>
      <c r="J601" s="155"/>
      <c r="K601" s="189"/>
      <c r="L601" s="180"/>
    </row>
    <row r="602">
      <c r="A602" s="155"/>
      <c r="B602" s="186"/>
      <c r="C602" s="155"/>
      <c r="D602" s="180"/>
      <c r="E602" s="155"/>
      <c r="F602" s="180"/>
      <c r="G602" s="180"/>
      <c r="H602" s="155"/>
      <c r="I602" s="155"/>
      <c r="J602" s="155"/>
      <c r="K602" s="206"/>
      <c r="L602" s="180"/>
    </row>
    <row r="603">
      <c r="A603" s="155"/>
      <c r="B603" s="186"/>
      <c r="C603" s="155"/>
      <c r="D603" s="180"/>
      <c r="E603" s="155"/>
      <c r="F603" s="180"/>
      <c r="G603" s="180"/>
      <c r="H603" s="155"/>
      <c r="I603" s="155"/>
      <c r="J603" s="155"/>
      <c r="K603" s="204"/>
      <c r="L603" s="180"/>
    </row>
    <row r="604">
      <c r="A604" s="155"/>
      <c r="B604" s="188"/>
      <c r="C604" s="155"/>
      <c r="D604" s="197"/>
      <c r="E604" s="155"/>
      <c r="F604" s="180"/>
      <c r="G604" s="180"/>
      <c r="H604" s="155"/>
      <c r="I604" s="155"/>
      <c r="J604" s="155"/>
      <c r="K604" s="189"/>
      <c r="L604" s="180"/>
    </row>
    <row r="605">
      <c r="A605" s="155"/>
      <c r="B605" s="188"/>
      <c r="C605" s="155"/>
      <c r="D605" s="180"/>
      <c r="E605" s="155"/>
      <c r="F605" s="180"/>
      <c r="G605" s="180"/>
      <c r="H605" s="155"/>
      <c r="I605" s="155"/>
      <c r="J605" s="155"/>
      <c r="K605" s="189"/>
      <c r="L605" s="180"/>
    </row>
    <row r="606">
      <c r="A606" s="155"/>
      <c r="B606" s="188"/>
      <c r="C606" s="155"/>
      <c r="D606" s="180"/>
      <c r="E606" s="155"/>
      <c r="F606" s="180"/>
      <c r="G606" s="180"/>
      <c r="H606" s="155"/>
      <c r="I606" s="155"/>
      <c r="J606" s="155"/>
      <c r="K606" s="189"/>
      <c r="L606" s="180"/>
    </row>
    <row r="607">
      <c r="A607" s="155"/>
      <c r="B607" s="190"/>
      <c r="C607" s="155"/>
      <c r="D607" s="180"/>
      <c r="E607" s="155"/>
      <c r="F607" s="180"/>
      <c r="G607" s="180"/>
      <c r="H607" s="155"/>
      <c r="I607" s="155"/>
      <c r="J607" s="155"/>
      <c r="K607" s="189"/>
      <c r="L607" s="180"/>
    </row>
    <row r="608">
      <c r="A608" s="155"/>
      <c r="B608" s="190"/>
      <c r="C608" s="155"/>
      <c r="D608" s="180"/>
      <c r="E608" s="155"/>
      <c r="F608" s="180"/>
      <c r="G608" s="180"/>
      <c r="H608" s="155"/>
      <c r="I608" s="155"/>
      <c r="J608" s="155"/>
      <c r="K608" s="189"/>
      <c r="L608" s="180"/>
    </row>
    <row r="609">
      <c r="A609" s="155"/>
      <c r="B609" s="190"/>
      <c r="C609" s="155"/>
      <c r="D609" s="180"/>
      <c r="E609" s="155"/>
      <c r="F609" s="180"/>
      <c r="G609" s="180"/>
      <c r="H609" s="155"/>
      <c r="I609" s="155"/>
      <c r="J609" s="155"/>
      <c r="K609" s="189"/>
      <c r="L609" s="180"/>
    </row>
    <row r="610">
      <c r="A610" s="155"/>
      <c r="B610" s="190"/>
      <c r="C610" s="155"/>
      <c r="D610" s="180"/>
      <c r="E610" s="155"/>
      <c r="F610" s="180"/>
      <c r="G610" s="180"/>
      <c r="H610" s="155"/>
      <c r="I610" s="155"/>
      <c r="J610" s="155"/>
      <c r="K610" s="207"/>
      <c r="L610" s="180"/>
    </row>
    <row r="611">
      <c r="A611" s="155"/>
      <c r="B611" s="190"/>
      <c r="C611" s="155"/>
      <c r="D611" s="180"/>
      <c r="E611" s="155"/>
      <c r="F611" s="180"/>
      <c r="G611" s="180"/>
      <c r="H611" s="155"/>
      <c r="I611" s="155"/>
      <c r="J611" s="155"/>
      <c r="K611" s="189"/>
      <c r="L611" s="180"/>
    </row>
    <row r="612">
      <c r="A612" s="155"/>
      <c r="B612" s="190"/>
      <c r="C612" s="155"/>
      <c r="D612" s="180"/>
      <c r="E612" s="155"/>
      <c r="F612" s="180"/>
      <c r="G612" s="180"/>
      <c r="H612" s="155"/>
      <c r="I612" s="155"/>
      <c r="J612" s="155"/>
      <c r="K612" s="181"/>
      <c r="L612" s="180"/>
    </row>
    <row r="613">
      <c r="A613" s="155"/>
      <c r="B613" s="190"/>
      <c r="C613" s="155"/>
      <c r="D613" s="180"/>
      <c r="E613" s="155"/>
      <c r="F613" s="180"/>
      <c r="G613" s="180"/>
      <c r="H613" s="155"/>
      <c r="I613" s="155"/>
      <c r="J613" s="155"/>
      <c r="K613" s="207"/>
      <c r="L613" s="180"/>
    </row>
    <row r="614">
      <c r="A614" s="155"/>
      <c r="B614" s="190"/>
      <c r="C614" s="155"/>
      <c r="D614" s="180"/>
      <c r="E614" s="155"/>
      <c r="F614" s="180"/>
      <c r="G614" s="180"/>
      <c r="H614" s="155"/>
      <c r="I614" s="155"/>
      <c r="J614" s="155"/>
      <c r="K614" s="207"/>
      <c r="L614" s="180"/>
    </row>
    <row r="615">
      <c r="A615" s="155"/>
      <c r="B615" s="190"/>
      <c r="C615" s="155"/>
      <c r="D615" s="180"/>
      <c r="E615" s="155"/>
      <c r="F615" s="180"/>
      <c r="G615" s="180"/>
      <c r="H615" s="155"/>
      <c r="I615" s="155"/>
      <c r="J615" s="155"/>
      <c r="K615" s="189"/>
      <c r="L615" s="180"/>
    </row>
    <row r="616">
      <c r="A616" s="155"/>
      <c r="B616" s="190"/>
      <c r="C616" s="155"/>
      <c r="D616" s="180"/>
      <c r="E616" s="155"/>
      <c r="F616" s="180"/>
      <c r="G616" s="180"/>
      <c r="H616" s="155"/>
      <c r="I616" s="155"/>
      <c r="J616" s="155"/>
      <c r="K616" s="189"/>
      <c r="L616" s="180"/>
    </row>
    <row r="617">
      <c r="A617" s="155"/>
      <c r="B617" s="190"/>
      <c r="C617" s="155"/>
      <c r="D617" s="180"/>
      <c r="E617" s="155"/>
      <c r="F617" s="180"/>
      <c r="G617" s="180"/>
      <c r="H617" s="155"/>
      <c r="I617" s="155"/>
      <c r="J617" s="155"/>
      <c r="K617" s="189"/>
      <c r="L617" s="180"/>
    </row>
    <row r="618">
      <c r="A618" s="155"/>
      <c r="B618" s="190"/>
      <c r="C618" s="155"/>
      <c r="D618" s="180"/>
      <c r="E618" s="155"/>
      <c r="F618" s="180"/>
      <c r="G618" s="180"/>
      <c r="H618" s="155"/>
      <c r="I618" s="155"/>
      <c r="J618" s="155"/>
      <c r="K618" s="189"/>
      <c r="L618" s="180"/>
    </row>
    <row r="619">
      <c r="A619" s="155"/>
      <c r="B619" s="190"/>
      <c r="C619" s="155"/>
      <c r="D619" s="180"/>
      <c r="E619" s="155"/>
      <c r="F619" s="180"/>
      <c r="G619" s="180"/>
      <c r="H619" s="155"/>
      <c r="I619" s="155"/>
      <c r="J619" s="155"/>
      <c r="K619" s="189"/>
      <c r="L619" s="180"/>
    </row>
    <row r="620">
      <c r="A620" s="155"/>
      <c r="B620" s="190"/>
      <c r="C620" s="155"/>
      <c r="D620" s="180"/>
      <c r="E620" s="155"/>
      <c r="F620" s="180"/>
      <c r="G620" s="180"/>
      <c r="H620" s="155"/>
      <c r="I620" s="155"/>
      <c r="J620" s="155"/>
      <c r="K620" s="189"/>
      <c r="L620" s="180"/>
    </row>
    <row r="621">
      <c r="A621" s="155"/>
      <c r="B621" s="190"/>
      <c r="C621" s="155"/>
      <c r="D621" s="180"/>
      <c r="E621" s="155"/>
      <c r="F621" s="180"/>
      <c r="G621" s="180"/>
      <c r="H621" s="155"/>
      <c r="I621" s="155"/>
      <c r="J621" s="155"/>
      <c r="K621" s="189"/>
      <c r="L621" s="180"/>
    </row>
    <row r="622">
      <c r="A622" s="155"/>
      <c r="B622" s="190"/>
      <c r="C622" s="155"/>
      <c r="D622" s="180"/>
      <c r="E622" s="155"/>
      <c r="F622" s="180"/>
      <c r="G622" s="180"/>
      <c r="H622" s="155"/>
      <c r="I622" s="155"/>
      <c r="J622" s="155"/>
      <c r="K622" s="189"/>
      <c r="L622" s="180"/>
    </row>
    <row r="623">
      <c r="A623" s="155"/>
      <c r="B623" s="190"/>
      <c r="C623" s="155"/>
      <c r="D623" s="180"/>
      <c r="E623" s="155"/>
      <c r="F623" s="180"/>
      <c r="G623" s="180"/>
      <c r="H623" s="155"/>
      <c r="I623" s="155"/>
      <c r="J623" s="155"/>
      <c r="K623" s="189"/>
      <c r="L623" s="180"/>
    </row>
    <row r="624">
      <c r="A624" s="155"/>
      <c r="B624" s="190"/>
      <c r="C624" s="155"/>
      <c r="D624" s="180"/>
      <c r="E624" s="155"/>
      <c r="F624" s="180"/>
      <c r="G624" s="180"/>
      <c r="H624" s="155"/>
      <c r="I624" s="155"/>
      <c r="J624" s="155"/>
      <c r="K624" s="189"/>
      <c r="L624" s="180"/>
    </row>
    <row r="625">
      <c r="A625" s="155"/>
      <c r="B625" s="190"/>
      <c r="C625" s="155"/>
      <c r="D625" s="180"/>
      <c r="E625" s="155"/>
      <c r="F625" s="180"/>
      <c r="G625" s="180"/>
      <c r="H625" s="155"/>
      <c r="I625" s="155"/>
      <c r="J625" s="155"/>
      <c r="K625" s="189"/>
      <c r="L625" s="180"/>
    </row>
    <row r="626">
      <c r="A626" s="155"/>
      <c r="B626" s="190"/>
      <c r="C626" s="155"/>
      <c r="D626" s="180"/>
      <c r="E626" s="155"/>
      <c r="F626" s="180"/>
      <c r="G626" s="180"/>
      <c r="H626" s="155"/>
      <c r="I626" s="155"/>
      <c r="J626" s="155"/>
      <c r="K626" s="189"/>
      <c r="L626" s="180"/>
    </row>
    <row r="627">
      <c r="A627" s="155"/>
      <c r="B627" s="190"/>
      <c r="C627" s="155"/>
      <c r="D627" s="180"/>
      <c r="E627" s="155"/>
      <c r="F627" s="180"/>
      <c r="G627" s="180"/>
      <c r="H627" s="155"/>
      <c r="I627" s="155"/>
      <c r="J627" s="155"/>
      <c r="K627" s="189"/>
      <c r="L627" s="180"/>
    </row>
    <row r="628">
      <c r="A628" s="155"/>
      <c r="B628" s="190"/>
      <c r="C628" s="155"/>
      <c r="D628" s="180"/>
      <c r="E628" s="155"/>
      <c r="F628" s="180"/>
      <c r="G628" s="180"/>
      <c r="H628" s="155"/>
      <c r="I628" s="155"/>
      <c r="J628" s="155"/>
      <c r="K628" s="189"/>
      <c r="L628" s="180"/>
    </row>
    <row r="629">
      <c r="B629" s="27"/>
      <c r="C629" s="1"/>
      <c r="D629" s="25"/>
      <c r="E629" s="1"/>
      <c r="F629" s="25"/>
      <c r="G629" s="7"/>
      <c r="H629" s="1"/>
      <c r="J629" s="1"/>
      <c r="K629" s="191"/>
      <c r="L629" s="7"/>
    </row>
    <row r="630">
      <c r="B630" s="27"/>
      <c r="C630" s="1"/>
      <c r="D630" s="25"/>
      <c r="E630" s="1"/>
      <c r="F630" s="25"/>
      <c r="G630" s="7"/>
      <c r="H630" s="1"/>
      <c r="I630" s="1"/>
      <c r="J630" s="1"/>
      <c r="K630" s="191"/>
      <c r="L630" s="7"/>
    </row>
    <row r="631">
      <c r="A631" s="155"/>
      <c r="B631" s="190"/>
      <c r="C631" s="155"/>
      <c r="D631" s="180"/>
      <c r="E631" s="155"/>
      <c r="F631" s="180"/>
      <c r="G631" s="180"/>
      <c r="H631" s="155"/>
      <c r="I631" s="155"/>
      <c r="J631" s="155"/>
      <c r="K631" s="189"/>
      <c r="L631" s="180"/>
    </row>
    <row r="632">
      <c r="A632" s="155"/>
      <c r="B632" s="190"/>
      <c r="C632" s="155"/>
      <c r="D632" s="180"/>
      <c r="E632" s="155"/>
      <c r="F632" s="180"/>
      <c r="G632" s="180"/>
      <c r="H632" s="155"/>
      <c r="I632" s="155"/>
      <c r="J632" s="155"/>
      <c r="K632" s="189"/>
      <c r="L632" s="180"/>
    </row>
    <row r="633">
      <c r="A633" s="155"/>
      <c r="B633" s="190"/>
      <c r="C633" s="155"/>
      <c r="D633" s="180"/>
      <c r="E633" s="155"/>
      <c r="F633" s="180"/>
      <c r="G633" s="180"/>
      <c r="H633" s="155"/>
      <c r="I633" s="155"/>
      <c r="J633" s="155"/>
      <c r="K633" s="189"/>
      <c r="L633" s="180"/>
    </row>
    <row r="634">
      <c r="A634" s="155"/>
      <c r="B634" s="190"/>
      <c r="C634" s="155"/>
      <c r="D634" s="180"/>
      <c r="E634" s="155"/>
      <c r="F634" s="180"/>
      <c r="G634" s="180"/>
      <c r="H634" s="155"/>
      <c r="I634" s="155"/>
      <c r="J634" s="155"/>
      <c r="K634" s="189"/>
      <c r="L634" s="180"/>
    </row>
    <row r="635">
      <c r="A635" s="155"/>
      <c r="B635" s="190"/>
      <c r="C635" s="155"/>
      <c r="D635" s="180"/>
      <c r="E635" s="155"/>
      <c r="F635" s="180"/>
      <c r="G635" s="180"/>
      <c r="H635" s="155"/>
      <c r="I635" s="155"/>
      <c r="J635" s="155"/>
      <c r="K635" s="208"/>
      <c r="L635" s="155"/>
    </row>
    <row r="636">
      <c r="A636" s="155"/>
      <c r="B636" s="188"/>
      <c r="C636" s="155"/>
      <c r="D636" s="180"/>
      <c r="E636" s="155"/>
      <c r="F636" s="180"/>
      <c r="G636" s="180"/>
      <c r="H636" s="155"/>
      <c r="I636" s="155"/>
      <c r="J636" s="155"/>
      <c r="K636" s="208"/>
      <c r="L636" s="155"/>
    </row>
    <row r="637">
      <c r="A637" s="155"/>
      <c r="B637" s="188"/>
      <c r="C637" s="155"/>
      <c r="D637" s="180"/>
      <c r="E637" s="155"/>
      <c r="F637" s="180"/>
      <c r="G637" s="180"/>
      <c r="H637" s="155"/>
      <c r="I637" s="155"/>
      <c r="J637" s="155"/>
      <c r="K637" s="208"/>
      <c r="L637" s="155"/>
    </row>
    <row r="638">
      <c r="B638" s="187"/>
      <c r="C638" s="1"/>
      <c r="D638" s="25"/>
      <c r="E638" s="1"/>
      <c r="F638" s="25"/>
      <c r="G638" s="7"/>
      <c r="H638" s="1"/>
      <c r="I638" s="1"/>
      <c r="J638" s="1"/>
      <c r="K638" s="198"/>
      <c r="L638" s="1"/>
    </row>
    <row r="639">
      <c r="B639" s="187"/>
      <c r="C639" s="1"/>
      <c r="D639" s="25"/>
      <c r="E639" s="1"/>
      <c r="F639" s="7"/>
      <c r="G639" s="7"/>
      <c r="H639" s="1"/>
      <c r="I639" s="1"/>
      <c r="J639" s="1"/>
      <c r="K639" s="198"/>
      <c r="L639" s="1"/>
    </row>
    <row r="640">
      <c r="B640" s="187"/>
      <c r="C640" s="1"/>
      <c r="D640" s="25"/>
      <c r="E640" s="1"/>
      <c r="F640" s="25"/>
      <c r="G640" s="7"/>
      <c r="H640" s="1"/>
      <c r="I640" s="1"/>
      <c r="J640" s="1"/>
      <c r="K640" s="198"/>
      <c r="L640" s="1"/>
    </row>
    <row r="641">
      <c r="B641" s="187"/>
      <c r="C641" s="1"/>
      <c r="D641" s="25"/>
      <c r="E641" s="1"/>
      <c r="F641" s="25"/>
      <c r="G641" s="7"/>
      <c r="H641" s="1"/>
      <c r="I641" s="1"/>
      <c r="J641" s="1"/>
      <c r="K641" s="200"/>
      <c r="L641" s="1"/>
    </row>
    <row r="642">
      <c r="B642" s="187"/>
      <c r="C642" s="1"/>
      <c r="D642" s="25"/>
      <c r="E642" s="1"/>
      <c r="F642" s="25"/>
      <c r="G642" s="7"/>
      <c r="H642" s="1"/>
      <c r="I642" s="1"/>
      <c r="J642" s="1"/>
      <c r="K642" s="198"/>
      <c r="L642" s="1"/>
    </row>
    <row r="643">
      <c r="B643" s="187"/>
      <c r="C643" s="1"/>
      <c r="D643" s="25"/>
      <c r="E643" s="1"/>
      <c r="F643" s="25"/>
      <c r="G643" s="7"/>
      <c r="H643" s="1"/>
      <c r="I643" s="1"/>
      <c r="J643" s="1"/>
      <c r="K643" s="198"/>
      <c r="L643" s="1"/>
    </row>
    <row r="644">
      <c r="B644" s="187"/>
      <c r="C644" s="1"/>
      <c r="D644" s="25"/>
      <c r="E644" s="1"/>
      <c r="F644" s="7"/>
      <c r="G644" s="7"/>
      <c r="H644" s="1"/>
      <c r="I644" s="1"/>
      <c r="J644" s="1"/>
      <c r="K644" s="14"/>
      <c r="L644" s="1"/>
    </row>
    <row r="645">
      <c r="B645" s="187"/>
      <c r="C645" s="1"/>
      <c r="D645" s="25"/>
      <c r="E645" s="1"/>
      <c r="F645" s="25"/>
      <c r="G645" s="7"/>
      <c r="H645" s="1"/>
      <c r="I645" s="1"/>
      <c r="J645" s="1"/>
      <c r="K645" s="209"/>
      <c r="L645" s="1"/>
    </row>
    <row r="646">
      <c r="B646" s="27"/>
      <c r="C646" s="1"/>
      <c r="D646" s="25"/>
      <c r="E646" s="1"/>
      <c r="F646" s="25"/>
      <c r="G646" s="7"/>
      <c r="H646" s="1"/>
      <c r="I646" s="1"/>
      <c r="J646" s="1"/>
      <c r="K646" s="14"/>
      <c r="L646" s="1"/>
    </row>
    <row r="647">
      <c r="B647" s="27"/>
      <c r="C647" s="1"/>
      <c r="D647" s="25"/>
      <c r="E647" s="1"/>
      <c r="F647" s="7"/>
      <c r="G647" s="7"/>
      <c r="H647" s="1"/>
      <c r="I647" s="1"/>
      <c r="J647" s="1"/>
      <c r="K647" s="14"/>
      <c r="L647" s="1"/>
    </row>
    <row r="648">
      <c r="B648" s="27"/>
      <c r="C648" s="1"/>
      <c r="D648" s="25"/>
      <c r="E648" s="1"/>
      <c r="F648" s="25"/>
      <c r="G648" s="7"/>
      <c r="H648" s="1"/>
      <c r="I648" s="1"/>
      <c r="J648" s="1"/>
      <c r="K648" s="14"/>
      <c r="L648" s="1"/>
    </row>
    <row r="649">
      <c r="B649" s="27"/>
      <c r="C649" s="1"/>
      <c r="D649" s="25"/>
      <c r="E649" s="1"/>
      <c r="F649" s="25"/>
      <c r="G649" s="7"/>
      <c r="H649" s="1"/>
      <c r="I649" s="1"/>
      <c r="J649" s="1"/>
      <c r="K649" s="14"/>
      <c r="L649" s="1"/>
    </row>
    <row r="650">
      <c r="B650" s="27"/>
      <c r="C650" s="1"/>
      <c r="D650" s="25"/>
      <c r="E650" s="1"/>
      <c r="F650" s="25"/>
      <c r="G650" s="7"/>
      <c r="H650" s="1"/>
      <c r="I650" s="1"/>
      <c r="J650" s="1"/>
      <c r="K650" s="14"/>
      <c r="L650" s="1"/>
    </row>
    <row r="651">
      <c r="B651" s="27"/>
      <c r="C651" s="1"/>
      <c r="D651" s="25"/>
      <c r="E651" s="1"/>
      <c r="F651" s="7"/>
      <c r="G651" s="7"/>
      <c r="H651" s="1"/>
      <c r="I651" s="1"/>
      <c r="J651" s="1"/>
      <c r="K651" s="14"/>
      <c r="L651" s="1"/>
    </row>
    <row r="652">
      <c r="B652" s="27"/>
      <c r="C652" s="1"/>
      <c r="D652" s="25"/>
      <c r="E652" s="1"/>
      <c r="F652" s="25"/>
      <c r="G652" s="7"/>
      <c r="H652" s="1"/>
      <c r="I652" s="1"/>
      <c r="J652" s="1"/>
      <c r="K652" s="14"/>
      <c r="L652" s="1"/>
    </row>
    <row r="653">
      <c r="B653" s="27"/>
      <c r="C653" s="1"/>
      <c r="D653" s="25"/>
      <c r="E653" s="1"/>
      <c r="F653" s="25"/>
      <c r="G653" s="7"/>
      <c r="H653" s="1"/>
      <c r="I653" s="1"/>
      <c r="J653" s="1"/>
      <c r="K653" s="14"/>
      <c r="L653" s="1"/>
    </row>
    <row r="654">
      <c r="B654" s="27"/>
      <c r="C654" s="1"/>
      <c r="D654" s="25"/>
      <c r="E654" s="1"/>
      <c r="F654" s="25"/>
      <c r="G654" s="7"/>
      <c r="I654" s="1"/>
      <c r="J654" s="1"/>
      <c r="K654" s="14"/>
      <c r="L654" s="1"/>
    </row>
    <row r="655">
      <c r="B655" s="27"/>
      <c r="C655" s="1"/>
      <c r="D655" s="25"/>
      <c r="E655" s="1"/>
      <c r="F655" s="25"/>
      <c r="G655" s="7"/>
      <c r="H655" s="1"/>
      <c r="I655" s="1"/>
      <c r="J655" s="1"/>
      <c r="K655" s="200"/>
      <c r="L655" s="1"/>
    </row>
    <row r="656">
      <c r="B656" s="27"/>
      <c r="C656" s="1"/>
      <c r="D656" s="25"/>
      <c r="E656" s="1"/>
      <c r="F656" s="25"/>
      <c r="G656" s="7"/>
      <c r="H656" s="1"/>
      <c r="I656" s="1"/>
      <c r="J656" s="1"/>
      <c r="K656" s="200"/>
      <c r="L656" s="1"/>
    </row>
    <row r="700">
      <c r="B700" s="48"/>
      <c r="D700" s="25"/>
      <c r="F700" s="25"/>
      <c r="G700" s="25"/>
    </row>
    <row r="701">
      <c r="B701" s="48"/>
      <c r="D701" s="25"/>
      <c r="F701" s="25"/>
      <c r="G701" s="25"/>
    </row>
    <row r="702">
      <c r="B702" s="48"/>
      <c r="D702" s="25"/>
      <c r="F702" s="25"/>
      <c r="G702" s="25"/>
    </row>
    <row r="703">
      <c r="B703" s="48"/>
      <c r="D703" s="25"/>
      <c r="F703" s="25"/>
      <c r="G703" s="25"/>
    </row>
    <row r="704">
      <c r="B704" s="48"/>
      <c r="D704" s="25"/>
      <c r="F704" s="25"/>
      <c r="G704" s="25"/>
    </row>
    <row r="705">
      <c r="B705" s="48"/>
      <c r="D705" s="25"/>
      <c r="F705" s="25"/>
      <c r="G705" s="25"/>
    </row>
    <row r="706">
      <c r="B706" s="48"/>
      <c r="D706" s="25"/>
      <c r="F706" s="25"/>
      <c r="G706" s="25"/>
    </row>
    <row r="707">
      <c r="B707" s="48"/>
      <c r="D707" s="25"/>
      <c r="F707" s="25"/>
      <c r="G707" s="25"/>
    </row>
    <row r="708">
      <c r="B708" s="48"/>
      <c r="D708" s="25"/>
      <c r="F708" s="25"/>
      <c r="G708" s="25"/>
    </row>
    <row r="709">
      <c r="B709" s="48"/>
      <c r="D709" s="25"/>
      <c r="F709" s="25"/>
      <c r="G709" s="25"/>
    </row>
    <row r="710">
      <c r="B710" s="48"/>
      <c r="D710" s="25"/>
      <c r="F710" s="25"/>
      <c r="G710" s="25"/>
    </row>
    <row r="711">
      <c r="B711" s="48"/>
      <c r="D711" s="25"/>
      <c r="F711" s="25"/>
      <c r="G711" s="25"/>
    </row>
    <row r="712">
      <c r="B712" s="48"/>
      <c r="D712" s="25"/>
      <c r="F712" s="25"/>
      <c r="G712" s="25"/>
    </row>
    <row r="713">
      <c r="B713" s="48"/>
      <c r="D713" s="25"/>
      <c r="F713" s="25"/>
      <c r="G713" s="25"/>
    </row>
    <row r="714">
      <c r="B714" s="48"/>
      <c r="D714" s="25"/>
      <c r="F714" s="25"/>
      <c r="G714" s="25"/>
    </row>
    <row r="715">
      <c r="B715" s="48"/>
      <c r="D715" s="25"/>
      <c r="F715" s="25"/>
      <c r="G715" s="25"/>
    </row>
    <row r="716">
      <c r="B716" s="48"/>
      <c r="D716" s="25"/>
      <c r="F716" s="25"/>
      <c r="G716" s="25"/>
    </row>
    <row r="717">
      <c r="B717" s="48"/>
      <c r="D717" s="25"/>
      <c r="F717" s="25"/>
      <c r="G717" s="25"/>
    </row>
    <row r="718">
      <c r="B718" s="48"/>
      <c r="D718" s="25"/>
      <c r="F718" s="25"/>
      <c r="G718" s="25"/>
    </row>
    <row r="719">
      <c r="B719" s="48"/>
      <c r="D719" s="25"/>
      <c r="F719" s="25"/>
      <c r="G719" s="25"/>
    </row>
    <row r="720">
      <c r="B720" s="48"/>
      <c r="D720" s="25"/>
      <c r="F720" s="25"/>
      <c r="G720" s="25"/>
    </row>
    <row r="721">
      <c r="B721" s="48"/>
      <c r="D721" s="25"/>
      <c r="F721" s="25"/>
      <c r="G721" s="25"/>
    </row>
    <row r="722">
      <c r="B722" s="48"/>
      <c r="D722" s="25"/>
      <c r="F722" s="25"/>
      <c r="G722" s="25"/>
    </row>
    <row r="723">
      <c r="B723" s="48"/>
      <c r="D723" s="25"/>
      <c r="F723" s="25"/>
      <c r="G723" s="25"/>
    </row>
    <row r="724">
      <c r="B724" s="48"/>
      <c r="D724" s="25"/>
      <c r="F724" s="25"/>
      <c r="G724" s="25"/>
    </row>
    <row r="725">
      <c r="B725" s="48"/>
      <c r="D725" s="25"/>
      <c r="F725" s="25"/>
      <c r="G725" s="25"/>
    </row>
    <row r="726">
      <c r="B726" s="48"/>
      <c r="D726" s="25"/>
      <c r="F726" s="25"/>
      <c r="G726" s="25"/>
    </row>
    <row r="727">
      <c r="B727" s="48"/>
      <c r="D727" s="25"/>
      <c r="F727" s="25"/>
      <c r="G727" s="25"/>
    </row>
    <row r="728">
      <c r="B728" s="48"/>
      <c r="D728" s="25"/>
      <c r="F728" s="25"/>
      <c r="G728" s="25"/>
    </row>
    <row r="729">
      <c r="B729" s="48"/>
      <c r="D729" s="25"/>
      <c r="F729" s="25"/>
      <c r="G729" s="25"/>
    </row>
    <row r="730">
      <c r="B730" s="48"/>
      <c r="D730" s="25"/>
      <c r="F730" s="25"/>
      <c r="G730" s="25"/>
    </row>
    <row r="731">
      <c r="B731" s="48"/>
      <c r="D731" s="25"/>
      <c r="F731" s="25"/>
      <c r="G731" s="25"/>
    </row>
    <row r="732">
      <c r="B732" s="48"/>
      <c r="D732" s="25"/>
      <c r="F732" s="25"/>
      <c r="G732" s="25"/>
    </row>
    <row r="733">
      <c r="B733" s="48"/>
      <c r="D733" s="25"/>
      <c r="F733" s="25"/>
      <c r="G733" s="25"/>
    </row>
    <row r="734">
      <c r="B734" s="48"/>
      <c r="D734" s="25"/>
      <c r="F734" s="25"/>
      <c r="G734" s="25"/>
    </row>
    <row r="735">
      <c r="B735" s="48"/>
      <c r="D735" s="25"/>
      <c r="F735" s="25"/>
      <c r="G735" s="25"/>
    </row>
    <row r="736">
      <c r="B736" s="48"/>
      <c r="D736" s="25"/>
      <c r="F736" s="25"/>
      <c r="G736" s="25"/>
    </row>
    <row r="737">
      <c r="B737" s="48"/>
      <c r="D737" s="25"/>
      <c r="F737" s="25"/>
      <c r="G737" s="25"/>
    </row>
    <row r="738">
      <c r="B738" s="48"/>
      <c r="D738" s="25"/>
      <c r="F738" s="25"/>
      <c r="G738" s="25"/>
    </row>
    <row r="739">
      <c r="B739" s="48"/>
      <c r="D739" s="25"/>
      <c r="F739" s="25"/>
      <c r="G739" s="25"/>
    </row>
    <row r="740">
      <c r="B740" s="48"/>
      <c r="D740" s="25"/>
      <c r="F740" s="25"/>
      <c r="G740" s="25"/>
    </row>
    <row r="741">
      <c r="B741" s="48"/>
      <c r="D741" s="25"/>
      <c r="F741" s="25"/>
      <c r="G741" s="25"/>
    </row>
    <row r="742">
      <c r="B742" s="48"/>
      <c r="D742" s="25"/>
      <c r="F742" s="25"/>
      <c r="G742" s="25"/>
    </row>
    <row r="743">
      <c r="B743" s="48"/>
      <c r="D743" s="25"/>
      <c r="F743" s="25"/>
      <c r="G743" s="25"/>
    </row>
    <row r="744">
      <c r="B744" s="48"/>
      <c r="D744" s="25"/>
      <c r="F744" s="25"/>
      <c r="G744" s="25"/>
    </row>
    <row r="745">
      <c r="B745" s="48"/>
      <c r="D745" s="25"/>
      <c r="F745" s="25"/>
      <c r="G745" s="25"/>
    </row>
    <row r="746">
      <c r="B746" s="48"/>
      <c r="D746" s="25"/>
      <c r="F746" s="25"/>
      <c r="G746" s="25"/>
    </row>
    <row r="747">
      <c r="B747" s="48"/>
      <c r="D747" s="25"/>
      <c r="F747" s="25"/>
      <c r="G747" s="25"/>
    </row>
    <row r="748">
      <c r="B748" s="48"/>
      <c r="D748" s="25"/>
      <c r="F748" s="25"/>
      <c r="G748" s="25"/>
    </row>
    <row r="749">
      <c r="B749" s="48"/>
      <c r="D749" s="25"/>
      <c r="F749" s="25"/>
      <c r="G749" s="25"/>
    </row>
    <row r="750">
      <c r="B750" s="48"/>
      <c r="D750" s="25"/>
      <c r="F750" s="25"/>
      <c r="G750" s="25"/>
    </row>
    <row r="751">
      <c r="B751" s="48"/>
      <c r="D751" s="25"/>
      <c r="F751" s="25"/>
      <c r="G751" s="25"/>
    </row>
    <row r="752">
      <c r="B752" s="48"/>
      <c r="D752" s="25"/>
      <c r="F752" s="25"/>
      <c r="G752" s="25"/>
    </row>
    <row r="753">
      <c r="B753" s="48"/>
      <c r="D753" s="25"/>
      <c r="F753" s="25"/>
      <c r="G753" s="25"/>
    </row>
    <row r="754">
      <c r="B754" s="48"/>
      <c r="D754" s="25"/>
      <c r="F754" s="25"/>
      <c r="G754" s="25"/>
    </row>
    <row r="755">
      <c r="B755" s="48"/>
      <c r="D755" s="25"/>
      <c r="F755" s="25"/>
      <c r="G755" s="25"/>
    </row>
    <row r="756">
      <c r="B756" s="48"/>
      <c r="D756" s="25"/>
      <c r="F756" s="25"/>
      <c r="G756" s="25"/>
    </row>
    <row r="757">
      <c r="B757" s="48"/>
      <c r="D757" s="25"/>
      <c r="F757" s="25"/>
      <c r="G757" s="25"/>
    </row>
    <row r="758">
      <c r="B758" s="48"/>
      <c r="D758" s="25"/>
      <c r="F758" s="25"/>
      <c r="G758" s="25"/>
    </row>
    <row r="759">
      <c r="B759" s="48"/>
      <c r="D759" s="25"/>
      <c r="F759" s="25"/>
      <c r="G759" s="25"/>
    </row>
    <row r="760">
      <c r="B760" s="48"/>
      <c r="D760" s="25"/>
      <c r="F760" s="25"/>
      <c r="G760" s="25"/>
    </row>
    <row r="761">
      <c r="B761" s="48"/>
      <c r="D761" s="25"/>
      <c r="F761" s="25"/>
      <c r="G761" s="25"/>
    </row>
    <row r="762">
      <c r="B762" s="48"/>
      <c r="D762" s="25"/>
      <c r="F762" s="25"/>
      <c r="G762" s="25"/>
    </row>
    <row r="763">
      <c r="B763" s="48"/>
      <c r="D763" s="25"/>
      <c r="F763" s="25"/>
      <c r="G763" s="25"/>
    </row>
    <row r="764">
      <c r="B764" s="48"/>
      <c r="D764" s="25"/>
      <c r="F764" s="25"/>
      <c r="G764" s="25"/>
    </row>
    <row r="765">
      <c r="B765" s="48"/>
      <c r="D765" s="25"/>
      <c r="F765" s="25"/>
      <c r="G765" s="25"/>
    </row>
    <row r="766">
      <c r="B766" s="48"/>
      <c r="D766" s="25"/>
      <c r="F766" s="25"/>
      <c r="G766" s="25"/>
    </row>
    <row r="767">
      <c r="B767" s="48"/>
      <c r="D767" s="25"/>
      <c r="F767" s="25"/>
      <c r="G767" s="25"/>
    </row>
    <row r="768">
      <c r="B768" s="48"/>
      <c r="D768" s="25"/>
      <c r="F768" s="25"/>
      <c r="G768" s="25"/>
    </row>
    <row r="769">
      <c r="B769" s="48"/>
      <c r="D769" s="25"/>
      <c r="F769" s="25"/>
      <c r="G769" s="25"/>
    </row>
    <row r="770">
      <c r="B770" s="48"/>
      <c r="D770" s="25"/>
      <c r="F770" s="25"/>
      <c r="G770" s="25"/>
    </row>
    <row r="771">
      <c r="B771" s="48"/>
      <c r="D771" s="25"/>
      <c r="F771" s="25"/>
      <c r="G771" s="25"/>
    </row>
    <row r="772">
      <c r="B772" s="48"/>
      <c r="D772" s="25"/>
      <c r="F772" s="25"/>
      <c r="G772" s="25"/>
    </row>
    <row r="773">
      <c r="B773" s="48"/>
      <c r="D773" s="25"/>
      <c r="F773" s="25"/>
      <c r="G773" s="25"/>
    </row>
    <row r="774">
      <c r="B774" s="48"/>
      <c r="D774" s="25"/>
      <c r="F774" s="25"/>
      <c r="G774" s="25"/>
    </row>
    <row r="775">
      <c r="B775" s="48"/>
      <c r="D775" s="25"/>
      <c r="F775" s="25"/>
      <c r="G775" s="25"/>
    </row>
    <row r="776">
      <c r="B776" s="48"/>
      <c r="D776" s="25"/>
      <c r="F776" s="25"/>
      <c r="G776" s="25"/>
    </row>
    <row r="777">
      <c r="B777" s="48"/>
      <c r="D777" s="25"/>
      <c r="F777" s="25"/>
      <c r="G777" s="25"/>
    </row>
    <row r="778">
      <c r="B778" s="48"/>
      <c r="D778" s="25"/>
      <c r="F778" s="25"/>
      <c r="G778" s="25"/>
    </row>
    <row r="779">
      <c r="B779" s="48"/>
      <c r="D779" s="25"/>
      <c r="F779" s="25"/>
      <c r="G779" s="25"/>
    </row>
    <row r="780">
      <c r="B780" s="48"/>
      <c r="D780" s="25"/>
      <c r="F780" s="25"/>
      <c r="G780" s="25"/>
    </row>
    <row r="781">
      <c r="B781" s="48"/>
      <c r="D781" s="25"/>
      <c r="F781" s="25"/>
      <c r="G781" s="25"/>
    </row>
    <row r="782">
      <c r="B782" s="48"/>
      <c r="D782" s="25"/>
      <c r="F782" s="25"/>
      <c r="G782" s="25"/>
    </row>
    <row r="783">
      <c r="B783" s="48"/>
      <c r="D783" s="25"/>
      <c r="F783" s="25"/>
      <c r="G783" s="25"/>
    </row>
    <row r="784">
      <c r="B784" s="48"/>
      <c r="D784" s="25"/>
      <c r="F784" s="25"/>
      <c r="G784" s="25"/>
    </row>
    <row r="785">
      <c r="B785" s="48"/>
      <c r="D785" s="25"/>
      <c r="F785" s="25"/>
      <c r="G785" s="25"/>
    </row>
    <row r="786">
      <c r="B786" s="48"/>
      <c r="D786" s="25"/>
      <c r="F786" s="25"/>
      <c r="G786" s="25"/>
    </row>
    <row r="787">
      <c r="B787" s="48"/>
      <c r="D787" s="25"/>
      <c r="F787" s="25"/>
      <c r="G787" s="25"/>
    </row>
    <row r="788">
      <c r="B788" s="48"/>
      <c r="D788" s="25"/>
      <c r="F788" s="25"/>
      <c r="G788" s="25"/>
    </row>
    <row r="789">
      <c r="B789" s="48"/>
      <c r="D789" s="25"/>
      <c r="F789" s="25"/>
      <c r="G789" s="25"/>
    </row>
    <row r="790">
      <c r="B790" s="48"/>
      <c r="D790" s="25"/>
      <c r="F790" s="25"/>
      <c r="G790" s="25"/>
    </row>
    <row r="791">
      <c r="B791" s="48"/>
      <c r="D791" s="25"/>
      <c r="F791" s="25"/>
      <c r="G791" s="25"/>
    </row>
    <row r="792">
      <c r="B792" s="48"/>
      <c r="D792" s="25"/>
      <c r="F792" s="25"/>
      <c r="G792" s="25"/>
    </row>
    <row r="793">
      <c r="B793" s="48"/>
      <c r="D793" s="25"/>
      <c r="F793" s="25"/>
      <c r="G793" s="25"/>
    </row>
    <row r="794">
      <c r="B794" s="48"/>
      <c r="D794" s="25"/>
      <c r="F794" s="25"/>
      <c r="G794" s="25"/>
    </row>
    <row r="795">
      <c r="B795" s="48"/>
      <c r="D795" s="25"/>
      <c r="F795" s="25"/>
      <c r="G795" s="25"/>
    </row>
    <row r="796">
      <c r="B796" s="48"/>
      <c r="D796" s="25"/>
      <c r="F796" s="25"/>
      <c r="G796" s="25"/>
    </row>
    <row r="797">
      <c r="B797" s="48"/>
      <c r="D797" s="25"/>
      <c r="F797" s="25"/>
      <c r="G797" s="25"/>
    </row>
    <row r="798">
      <c r="B798" s="48"/>
      <c r="D798" s="25"/>
      <c r="F798" s="25"/>
      <c r="G798" s="25"/>
    </row>
    <row r="799">
      <c r="B799" s="48"/>
      <c r="D799" s="25"/>
      <c r="F799" s="25"/>
      <c r="G799" s="25"/>
    </row>
    <row r="800">
      <c r="B800" s="48"/>
      <c r="D800" s="25"/>
      <c r="F800" s="25"/>
      <c r="G800" s="25"/>
    </row>
    <row r="801">
      <c r="B801" s="48"/>
      <c r="D801" s="25"/>
      <c r="F801" s="25"/>
      <c r="G801" s="25"/>
    </row>
    <row r="802">
      <c r="B802" s="48"/>
      <c r="D802" s="25"/>
      <c r="F802" s="25"/>
      <c r="G802" s="25"/>
    </row>
    <row r="803">
      <c r="B803" s="48"/>
      <c r="D803" s="25"/>
      <c r="F803" s="25"/>
      <c r="G803" s="25"/>
    </row>
    <row r="804">
      <c r="B804" s="48"/>
      <c r="D804" s="25"/>
      <c r="F804" s="25"/>
      <c r="G804" s="25"/>
    </row>
    <row r="805">
      <c r="B805" s="48"/>
      <c r="D805" s="25"/>
      <c r="F805" s="25"/>
      <c r="G805" s="25"/>
    </row>
    <row r="806">
      <c r="B806" s="48"/>
      <c r="D806" s="25"/>
      <c r="F806" s="25"/>
      <c r="G806" s="25"/>
    </row>
    <row r="807">
      <c r="B807" s="48"/>
      <c r="D807" s="25"/>
      <c r="F807" s="25"/>
      <c r="G807" s="25"/>
    </row>
    <row r="808">
      <c r="B808" s="48"/>
      <c r="D808" s="25"/>
      <c r="F808" s="25"/>
      <c r="G808" s="25"/>
    </row>
    <row r="809">
      <c r="B809" s="48"/>
      <c r="D809" s="25"/>
      <c r="F809" s="25"/>
      <c r="G809" s="25"/>
    </row>
    <row r="810">
      <c r="B810" s="48"/>
      <c r="D810" s="25"/>
      <c r="F810" s="25"/>
      <c r="G810" s="25"/>
    </row>
    <row r="811">
      <c r="B811" s="48"/>
      <c r="D811" s="25"/>
      <c r="F811" s="25"/>
      <c r="G811" s="25"/>
    </row>
    <row r="812">
      <c r="B812" s="48"/>
      <c r="D812" s="25"/>
      <c r="F812" s="25"/>
      <c r="G812" s="25"/>
    </row>
    <row r="813">
      <c r="B813" s="48"/>
      <c r="D813" s="25"/>
      <c r="F813" s="25"/>
      <c r="G813" s="25"/>
    </row>
    <row r="814">
      <c r="B814" s="48"/>
      <c r="D814" s="25"/>
      <c r="F814" s="25"/>
      <c r="G814" s="25"/>
    </row>
    <row r="815">
      <c r="B815" s="48"/>
      <c r="D815" s="25"/>
      <c r="F815" s="25"/>
      <c r="G815" s="25"/>
    </row>
    <row r="816">
      <c r="B816" s="48"/>
      <c r="D816" s="25"/>
      <c r="F816" s="25"/>
      <c r="G816" s="25"/>
    </row>
    <row r="817">
      <c r="B817" s="48"/>
      <c r="D817" s="25"/>
      <c r="F817" s="25"/>
      <c r="G817" s="25"/>
    </row>
    <row r="818">
      <c r="B818" s="48"/>
      <c r="D818" s="25"/>
      <c r="F818" s="25"/>
      <c r="G818" s="25"/>
    </row>
    <row r="819">
      <c r="B819" s="48"/>
      <c r="D819" s="25"/>
      <c r="F819" s="25"/>
      <c r="G819" s="25"/>
    </row>
    <row r="820">
      <c r="B820" s="48"/>
      <c r="D820" s="25"/>
      <c r="F820" s="25"/>
      <c r="G820" s="25"/>
    </row>
    <row r="821">
      <c r="B821" s="48"/>
      <c r="D821" s="25"/>
      <c r="F821" s="25"/>
      <c r="G821" s="25"/>
    </row>
    <row r="822">
      <c r="B822" s="48"/>
      <c r="D822" s="25"/>
      <c r="F822" s="25"/>
      <c r="G822" s="25"/>
    </row>
    <row r="823">
      <c r="B823" s="48"/>
      <c r="D823" s="25"/>
      <c r="F823" s="25"/>
      <c r="G823" s="25"/>
    </row>
    <row r="824">
      <c r="B824" s="48"/>
      <c r="D824" s="25"/>
      <c r="F824" s="25"/>
      <c r="G824" s="25"/>
    </row>
    <row r="825">
      <c r="B825" s="48"/>
      <c r="D825" s="25"/>
      <c r="F825" s="25"/>
      <c r="G825" s="25"/>
    </row>
    <row r="826">
      <c r="B826" s="48"/>
      <c r="D826" s="25"/>
      <c r="F826" s="25"/>
      <c r="G826" s="25"/>
    </row>
    <row r="827">
      <c r="B827" s="48"/>
      <c r="D827" s="25"/>
      <c r="F827" s="25"/>
      <c r="G827" s="25"/>
    </row>
    <row r="828">
      <c r="B828" s="48"/>
      <c r="D828" s="25"/>
      <c r="F828" s="25"/>
      <c r="G828" s="25"/>
    </row>
    <row r="829">
      <c r="B829" s="48"/>
      <c r="D829" s="25"/>
      <c r="F829" s="25"/>
      <c r="G829" s="25"/>
    </row>
    <row r="830">
      <c r="B830" s="48"/>
      <c r="D830" s="25"/>
      <c r="F830" s="25"/>
      <c r="G830" s="25"/>
    </row>
    <row r="831">
      <c r="B831" s="48"/>
      <c r="D831" s="25"/>
      <c r="F831" s="25"/>
      <c r="G831" s="25"/>
    </row>
    <row r="832">
      <c r="B832" s="48"/>
      <c r="D832" s="25"/>
      <c r="F832" s="25"/>
      <c r="G832" s="25"/>
    </row>
    <row r="833">
      <c r="B833" s="48"/>
      <c r="D833" s="25"/>
      <c r="F833" s="25"/>
      <c r="G833" s="25"/>
    </row>
    <row r="834">
      <c r="B834" s="48"/>
      <c r="D834" s="25"/>
      <c r="F834" s="25"/>
      <c r="G834" s="25"/>
    </row>
    <row r="835">
      <c r="B835" s="48"/>
      <c r="D835" s="25"/>
      <c r="F835" s="25"/>
      <c r="G835" s="25"/>
    </row>
    <row r="836">
      <c r="B836" s="48"/>
      <c r="D836" s="25"/>
      <c r="F836" s="25"/>
      <c r="G836" s="25"/>
    </row>
    <row r="837">
      <c r="B837" s="48"/>
      <c r="D837" s="25"/>
      <c r="F837" s="25"/>
      <c r="G837" s="25"/>
    </row>
    <row r="838">
      <c r="B838" s="48"/>
      <c r="D838" s="25"/>
      <c r="F838" s="25"/>
      <c r="G838" s="25"/>
    </row>
    <row r="839">
      <c r="B839" s="48"/>
      <c r="D839" s="25"/>
      <c r="F839" s="25"/>
      <c r="G839" s="25"/>
    </row>
    <row r="840">
      <c r="B840" s="48"/>
      <c r="D840" s="25"/>
      <c r="F840" s="25"/>
      <c r="G840" s="25"/>
    </row>
    <row r="841">
      <c r="B841" s="48"/>
      <c r="D841" s="25"/>
      <c r="F841" s="25"/>
      <c r="G841" s="25"/>
    </row>
    <row r="842">
      <c r="B842" s="48"/>
      <c r="D842" s="25"/>
      <c r="F842" s="25"/>
      <c r="G842" s="25"/>
    </row>
    <row r="843">
      <c r="B843" s="48"/>
      <c r="D843" s="25"/>
      <c r="F843" s="25"/>
      <c r="G843" s="25"/>
    </row>
    <row r="844">
      <c r="B844" s="48"/>
      <c r="D844" s="25"/>
      <c r="F844" s="25"/>
      <c r="G844" s="25"/>
    </row>
    <row r="845">
      <c r="B845" s="48"/>
      <c r="D845" s="25"/>
      <c r="F845" s="25"/>
      <c r="G845" s="25"/>
    </row>
    <row r="846">
      <c r="B846" s="48"/>
      <c r="D846" s="25"/>
      <c r="F846" s="25"/>
      <c r="G846" s="25"/>
    </row>
    <row r="847">
      <c r="B847" s="48"/>
      <c r="D847" s="25"/>
      <c r="F847" s="25"/>
      <c r="G847" s="25"/>
    </row>
    <row r="848">
      <c r="B848" s="48"/>
      <c r="D848" s="25"/>
      <c r="F848" s="25"/>
      <c r="G848" s="25"/>
    </row>
    <row r="849">
      <c r="B849" s="48"/>
      <c r="D849" s="25"/>
      <c r="F849" s="25"/>
      <c r="G849" s="25"/>
    </row>
    <row r="850">
      <c r="B850" s="48"/>
      <c r="D850" s="25"/>
      <c r="F850" s="25"/>
      <c r="G850" s="25"/>
    </row>
    <row r="851">
      <c r="B851" s="48"/>
      <c r="D851" s="25"/>
      <c r="F851" s="25"/>
      <c r="G851" s="25"/>
    </row>
    <row r="852">
      <c r="B852" s="48"/>
      <c r="D852" s="25"/>
      <c r="F852" s="25"/>
      <c r="G852" s="25"/>
    </row>
    <row r="853">
      <c r="B853" s="48"/>
      <c r="D853" s="25"/>
      <c r="F853" s="25"/>
      <c r="G853" s="25"/>
    </row>
    <row r="854">
      <c r="B854" s="48"/>
      <c r="D854" s="25"/>
      <c r="F854" s="25"/>
      <c r="G854" s="25"/>
    </row>
    <row r="855">
      <c r="B855" s="48"/>
      <c r="D855" s="25"/>
      <c r="F855" s="25"/>
      <c r="G855" s="25"/>
    </row>
    <row r="856">
      <c r="B856" s="48"/>
      <c r="D856" s="25"/>
      <c r="F856" s="25"/>
      <c r="G856" s="25"/>
    </row>
    <row r="857">
      <c r="B857" s="48"/>
      <c r="D857" s="25"/>
      <c r="F857" s="25"/>
      <c r="G857" s="25"/>
    </row>
    <row r="858">
      <c r="B858" s="48"/>
      <c r="D858" s="25"/>
      <c r="F858" s="25"/>
      <c r="G858" s="25"/>
    </row>
    <row r="859">
      <c r="B859" s="48"/>
      <c r="D859" s="25"/>
      <c r="F859" s="25"/>
      <c r="G859" s="25"/>
    </row>
    <row r="860">
      <c r="B860" s="48"/>
      <c r="D860" s="25"/>
      <c r="F860" s="25"/>
      <c r="G860" s="25"/>
    </row>
    <row r="861">
      <c r="B861" s="48"/>
      <c r="D861" s="25"/>
      <c r="F861" s="25"/>
      <c r="G861" s="25"/>
    </row>
    <row r="862">
      <c r="B862" s="48"/>
      <c r="D862" s="25"/>
      <c r="F862" s="25"/>
      <c r="G862" s="25"/>
    </row>
    <row r="863">
      <c r="B863" s="48"/>
      <c r="D863" s="25"/>
      <c r="F863" s="25"/>
      <c r="G863" s="25"/>
    </row>
    <row r="864">
      <c r="B864" s="48"/>
      <c r="D864" s="25"/>
      <c r="F864" s="25"/>
      <c r="G864" s="25"/>
    </row>
    <row r="865">
      <c r="B865" s="48"/>
      <c r="D865" s="25"/>
      <c r="F865" s="25"/>
      <c r="G865" s="25"/>
    </row>
    <row r="866">
      <c r="B866" s="48"/>
      <c r="D866" s="25"/>
      <c r="F866" s="25"/>
      <c r="G866" s="25"/>
    </row>
    <row r="867">
      <c r="B867" s="48"/>
      <c r="D867" s="25"/>
      <c r="F867" s="25"/>
      <c r="G867" s="25"/>
    </row>
    <row r="868">
      <c r="B868" s="48"/>
      <c r="D868" s="25"/>
      <c r="F868" s="25"/>
      <c r="G868" s="25"/>
    </row>
    <row r="869">
      <c r="B869" s="48"/>
      <c r="D869" s="25"/>
      <c r="F869" s="25"/>
      <c r="G869" s="25"/>
    </row>
    <row r="870">
      <c r="B870" s="48"/>
      <c r="D870" s="25"/>
      <c r="F870" s="25"/>
      <c r="G870" s="25"/>
    </row>
    <row r="871">
      <c r="B871" s="48"/>
      <c r="D871" s="25"/>
      <c r="F871" s="25"/>
      <c r="G871" s="25"/>
    </row>
    <row r="872">
      <c r="B872" s="48"/>
      <c r="D872" s="25"/>
      <c r="F872" s="25"/>
      <c r="G872" s="25"/>
    </row>
    <row r="873">
      <c r="B873" s="48"/>
      <c r="D873" s="25"/>
      <c r="F873" s="25"/>
      <c r="G873" s="25"/>
    </row>
    <row r="874">
      <c r="B874" s="48"/>
      <c r="D874" s="25"/>
      <c r="F874" s="25"/>
      <c r="G874" s="25"/>
    </row>
    <row r="875">
      <c r="B875" s="48"/>
      <c r="D875" s="25"/>
      <c r="F875" s="25"/>
      <c r="G875" s="25"/>
    </row>
    <row r="876">
      <c r="B876" s="48"/>
      <c r="D876" s="25"/>
      <c r="F876" s="25"/>
      <c r="G876" s="25"/>
    </row>
    <row r="877">
      <c r="B877" s="48"/>
      <c r="D877" s="25"/>
      <c r="F877" s="25"/>
      <c r="G877" s="25"/>
    </row>
    <row r="878">
      <c r="B878" s="48"/>
      <c r="D878" s="25"/>
      <c r="F878" s="25"/>
      <c r="G878" s="25"/>
    </row>
    <row r="879">
      <c r="B879" s="48"/>
      <c r="D879" s="25"/>
      <c r="F879" s="25"/>
      <c r="G879" s="25"/>
    </row>
    <row r="880">
      <c r="B880" s="48"/>
      <c r="D880" s="25"/>
      <c r="F880" s="25"/>
      <c r="G880" s="25"/>
    </row>
    <row r="881">
      <c r="B881" s="48"/>
      <c r="D881" s="25"/>
      <c r="F881" s="25"/>
      <c r="G881" s="25"/>
    </row>
    <row r="882">
      <c r="B882" s="48"/>
      <c r="D882" s="25"/>
      <c r="F882" s="25"/>
      <c r="G882" s="25"/>
    </row>
    <row r="883">
      <c r="B883" s="48"/>
      <c r="D883" s="25"/>
      <c r="F883" s="25"/>
      <c r="G883" s="25"/>
    </row>
    <row r="884">
      <c r="B884" s="48"/>
      <c r="D884" s="25"/>
      <c r="F884" s="25"/>
      <c r="G884" s="25"/>
    </row>
    <row r="885">
      <c r="B885" s="48"/>
      <c r="D885" s="25"/>
      <c r="F885" s="25"/>
      <c r="G885" s="25"/>
    </row>
    <row r="886">
      <c r="B886" s="48"/>
      <c r="D886" s="25"/>
      <c r="F886" s="25"/>
      <c r="G886" s="25"/>
    </row>
    <row r="887">
      <c r="B887" s="48"/>
      <c r="D887" s="25"/>
      <c r="F887" s="25"/>
      <c r="G887" s="25"/>
    </row>
    <row r="888">
      <c r="B888" s="48"/>
      <c r="D888" s="25"/>
      <c r="F888" s="25"/>
      <c r="G888" s="25"/>
    </row>
    <row r="889">
      <c r="B889" s="48"/>
      <c r="D889" s="25"/>
      <c r="F889" s="25"/>
      <c r="G889" s="25"/>
    </row>
    <row r="890">
      <c r="B890" s="48"/>
      <c r="D890" s="25"/>
      <c r="F890" s="25"/>
      <c r="G890" s="25"/>
    </row>
    <row r="891">
      <c r="B891" s="48"/>
      <c r="D891" s="25"/>
      <c r="F891" s="25"/>
      <c r="G891" s="25"/>
    </row>
    <row r="892">
      <c r="B892" s="48"/>
      <c r="D892" s="25"/>
      <c r="F892" s="25"/>
      <c r="G892" s="25"/>
    </row>
    <row r="893">
      <c r="B893" s="48"/>
      <c r="D893" s="25"/>
      <c r="F893" s="25"/>
      <c r="G893" s="25"/>
    </row>
    <row r="894">
      <c r="B894" s="48"/>
      <c r="D894" s="25"/>
      <c r="F894" s="25"/>
      <c r="G894" s="25"/>
    </row>
    <row r="895">
      <c r="B895" s="48"/>
      <c r="D895" s="25"/>
      <c r="F895" s="25"/>
      <c r="G895" s="25"/>
    </row>
    <row r="896">
      <c r="B896" s="48"/>
      <c r="D896" s="25"/>
      <c r="F896" s="25"/>
      <c r="G896" s="25"/>
    </row>
    <row r="897">
      <c r="B897" s="48"/>
      <c r="D897" s="25"/>
      <c r="F897" s="25"/>
      <c r="G897" s="25"/>
    </row>
    <row r="898">
      <c r="B898" s="48"/>
      <c r="D898" s="25"/>
      <c r="F898" s="25"/>
      <c r="G898" s="25"/>
    </row>
    <row r="899">
      <c r="B899" s="48"/>
      <c r="D899" s="25"/>
      <c r="F899" s="25"/>
      <c r="G899" s="25"/>
    </row>
    <row r="900">
      <c r="B900" s="48"/>
      <c r="D900" s="25"/>
      <c r="F900" s="25"/>
      <c r="G900" s="25"/>
    </row>
    <row r="901">
      <c r="B901" s="48"/>
      <c r="D901" s="25"/>
      <c r="F901" s="25"/>
      <c r="G901" s="25"/>
    </row>
    <row r="902">
      <c r="B902" s="48"/>
      <c r="D902" s="25"/>
      <c r="F902" s="25"/>
      <c r="G902" s="25"/>
    </row>
    <row r="903">
      <c r="B903" s="48"/>
      <c r="D903" s="25"/>
      <c r="F903" s="25"/>
      <c r="G903" s="25"/>
    </row>
    <row r="904">
      <c r="B904" s="48"/>
      <c r="D904" s="25"/>
      <c r="F904" s="25"/>
      <c r="G904" s="25"/>
    </row>
    <row r="905">
      <c r="B905" s="48"/>
      <c r="D905" s="25"/>
      <c r="F905" s="25"/>
      <c r="G905" s="25"/>
    </row>
    <row r="906">
      <c r="B906" s="48"/>
      <c r="D906" s="25"/>
      <c r="F906" s="25"/>
      <c r="G906" s="25"/>
    </row>
    <row r="907">
      <c r="B907" s="48"/>
      <c r="D907" s="25"/>
      <c r="F907" s="25"/>
      <c r="G907" s="25"/>
    </row>
    <row r="908">
      <c r="B908" s="48"/>
      <c r="D908" s="25"/>
      <c r="F908" s="25"/>
      <c r="G908" s="25"/>
    </row>
    <row r="909">
      <c r="B909" s="48"/>
      <c r="D909" s="25"/>
      <c r="F909" s="25"/>
      <c r="G909" s="25"/>
    </row>
    <row r="910">
      <c r="B910" s="48"/>
      <c r="D910" s="25"/>
      <c r="F910" s="25"/>
      <c r="G910" s="25"/>
    </row>
    <row r="911">
      <c r="B911" s="48"/>
      <c r="D911" s="25"/>
      <c r="F911" s="25"/>
      <c r="G911" s="25"/>
    </row>
    <row r="912">
      <c r="B912" s="48"/>
      <c r="D912" s="25"/>
      <c r="F912" s="25"/>
      <c r="G912" s="25"/>
    </row>
    <row r="913">
      <c r="B913" s="48"/>
      <c r="D913" s="25"/>
      <c r="F913" s="25"/>
      <c r="G913" s="25"/>
    </row>
    <row r="914">
      <c r="B914" s="48"/>
      <c r="D914" s="25"/>
      <c r="F914" s="25"/>
      <c r="G914" s="25"/>
    </row>
    <row r="915">
      <c r="B915" s="48"/>
      <c r="D915" s="25"/>
      <c r="F915" s="25"/>
      <c r="G915" s="25"/>
    </row>
    <row r="916">
      <c r="B916" s="48"/>
      <c r="D916" s="25"/>
      <c r="F916" s="25"/>
      <c r="G916" s="25"/>
    </row>
    <row r="917">
      <c r="B917" s="48"/>
      <c r="D917" s="25"/>
      <c r="F917" s="25"/>
      <c r="G917" s="25"/>
    </row>
    <row r="918">
      <c r="B918" s="48"/>
      <c r="D918" s="25"/>
      <c r="F918" s="25"/>
      <c r="G918" s="25"/>
    </row>
    <row r="919">
      <c r="B919" s="48"/>
      <c r="D919" s="25"/>
      <c r="F919" s="25"/>
      <c r="G919" s="25"/>
    </row>
    <row r="920">
      <c r="B920" s="48"/>
      <c r="D920" s="25"/>
      <c r="F920" s="25"/>
      <c r="G920" s="25"/>
    </row>
    <row r="921">
      <c r="B921" s="48"/>
      <c r="D921" s="25"/>
      <c r="F921" s="25"/>
      <c r="G921" s="25"/>
    </row>
    <row r="922">
      <c r="B922" s="48"/>
      <c r="D922" s="25"/>
      <c r="F922" s="25"/>
      <c r="G922" s="25"/>
    </row>
    <row r="923">
      <c r="B923" s="48"/>
      <c r="D923" s="25"/>
      <c r="F923" s="25"/>
      <c r="G923" s="25"/>
    </row>
    <row r="924">
      <c r="B924" s="48"/>
      <c r="D924" s="25"/>
      <c r="F924" s="25"/>
      <c r="G924" s="25"/>
    </row>
    <row r="925">
      <c r="B925" s="48"/>
      <c r="D925" s="25"/>
      <c r="F925" s="25"/>
      <c r="G925" s="25"/>
    </row>
    <row r="926">
      <c r="B926" s="48"/>
      <c r="D926" s="25"/>
      <c r="F926" s="25"/>
      <c r="G926" s="25"/>
    </row>
    <row r="927">
      <c r="B927" s="48"/>
      <c r="D927" s="25"/>
      <c r="F927" s="25"/>
      <c r="G927" s="25"/>
    </row>
    <row r="928">
      <c r="B928" s="48"/>
      <c r="D928" s="25"/>
      <c r="F928" s="25"/>
      <c r="G928" s="25"/>
    </row>
    <row r="929">
      <c r="B929" s="48"/>
      <c r="D929" s="25"/>
      <c r="F929" s="25"/>
      <c r="G929" s="25"/>
    </row>
    <row r="930">
      <c r="B930" s="48"/>
      <c r="D930" s="25"/>
      <c r="F930" s="25"/>
      <c r="G930" s="25"/>
    </row>
    <row r="931">
      <c r="B931" s="48"/>
      <c r="D931" s="25"/>
      <c r="F931" s="25"/>
      <c r="G931" s="25"/>
    </row>
    <row r="932">
      <c r="B932" s="48"/>
      <c r="D932" s="25"/>
      <c r="F932" s="25"/>
      <c r="G932" s="25"/>
    </row>
    <row r="933">
      <c r="B933" s="48"/>
      <c r="D933" s="25"/>
      <c r="F933" s="25"/>
      <c r="G933" s="25"/>
    </row>
    <row r="934">
      <c r="B934" s="48"/>
      <c r="D934" s="25"/>
      <c r="F934" s="25"/>
      <c r="G934" s="25"/>
    </row>
    <row r="935">
      <c r="B935" s="48"/>
      <c r="D935" s="25"/>
      <c r="F935" s="25"/>
      <c r="G935" s="25"/>
    </row>
    <row r="936">
      <c r="B936" s="48"/>
      <c r="D936" s="25"/>
      <c r="F936" s="25"/>
      <c r="G936" s="25"/>
    </row>
    <row r="937">
      <c r="B937" s="48"/>
      <c r="D937" s="25"/>
      <c r="F937" s="25"/>
      <c r="G937" s="25"/>
    </row>
    <row r="938">
      <c r="B938" s="48"/>
      <c r="D938" s="25"/>
      <c r="F938" s="25"/>
      <c r="G938" s="25"/>
    </row>
    <row r="939">
      <c r="B939" s="48"/>
      <c r="D939" s="25"/>
      <c r="F939" s="25"/>
      <c r="G939" s="25"/>
    </row>
    <row r="940">
      <c r="B940" s="48"/>
      <c r="D940" s="25"/>
      <c r="F940" s="25"/>
      <c r="G940" s="25"/>
    </row>
    <row r="941">
      <c r="B941" s="48"/>
      <c r="D941" s="25"/>
      <c r="F941" s="25"/>
      <c r="G941" s="25"/>
    </row>
    <row r="942">
      <c r="B942" s="48"/>
      <c r="D942" s="25"/>
      <c r="F942" s="25"/>
      <c r="G942" s="25"/>
    </row>
    <row r="943">
      <c r="B943" s="48"/>
      <c r="D943" s="25"/>
      <c r="F943" s="25"/>
      <c r="G943" s="25"/>
    </row>
    <row r="944">
      <c r="B944" s="48"/>
      <c r="D944" s="25"/>
      <c r="F944" s="25"/>
      <c r="G944" s="25"/>
    </row>
    <row r="945">
      <c r="B945" s="48"/>
      <c r="D945" s="25"/>
      <c r="F945" s="25"/>
      <c r="G945" s="25"/>
    </row>
    <row r="946">
      <c r="B946" s="48"/>
      <c r="D946" s="25"/>
      <c r="F946" s="25"/>
      <c r="G946" s="25"/>
    </row>
    <row r="947">
      <c r="B947" s="48"/>
      <c r="D947" s="25"/>
      <c r="F947" s="25"/>
      <c r="G947" s="25"/>
    </row>
    <row r="948">
      <c r="B948" s="48"/>
      <c r="D948" s="25"/>
      <c r="F948" s="25"/>
      <c r="G948" s="25"/>
    </row>
    <row r="949">
      <c r="B949" s="48"/>
      <c r="D949" s="25"/>
      <c r="F949" s="25"/>
      <c r="G949" s="25"/>
    </row>
    <row r="950">
      <c r="B950" s="48"/>
      <c r="D950" s="25"/>
      <c r="F950" s="25"/>
      <c r="G950" s="25"/>
    </row>
    <row r="951">
      <c r="B951" s="48"/>
      <c r="D951" s="25"/>
      <c r="F951" s="25"/>
      <c r="G951" s="25"/>
    </row>
    <row r="952">
      <c r="B952" s="48"/>
      <c r="D952" s="25"/>
      <c r="F952" s="25"/>
      <c r="G952" s="25"/>
    </row>
    <row r="953">
      <c r="B953" s="48"/>
      <c r="D953" s="25"/>
      <c r="F953" s="25"/>
      <c r="G953" s="25"/>
    </row>
    <row r="954">
      <c r="B954" s="48"/>
      <c r="D954" s="25"/>
      <c r="F954" s="25"/>
      <c r="G954" s="25"/>
    </row>
    <row r="955">
      <c r="B955" s="48"/>
      <c r="D955" s="25"/>
      <c r="F955" s="25"/>
      <c r="G955" s="25"/>
    </row>
    <row r="956">
      <c r="B956" s="48"/>
      <c r="D956" s="25"/>
      <c r="F956" s="25"/>
      <c r="G956" s="25"/>
    </row>
    <row r="957">
      <c r="B957" s="48"/>
      <c r="D957" s="25"/>
      <c r="F957" s="25"/>
      <c r="G957" s="25"/>
    </row>
    <row r="958">
      <c r="B958" s="48"/>
      <c r="D958" s="25"/>
      <c r="F958" s="25"/>
      <c r="G958" s="25"/>
    </row>
    <row r="959">
      <c r="B959" s="48"/>
      <c r="D959" s="25"/>
      <c r="F959" s="25"/>
      <c r="G959" s="25"/>
    </row>
    <row r="960">
      <c r="B960" s="48"/>
      <c r="D960" s="25"/>
      <c r="F960" s="25"/>
      <c r="G960" s="25"/>
    </row>
    <row r="961">
      <c r="B961" s="48"/>
      <c r="D961" s="25"/>
      <c r="F961" s="25"/>
      <c r="G961" s="25"/>
    </row>
    <row r="962">
      <c r="B962" s="48"/>
      <c r="D962" s="25"/>
      <c r="F962" s="25"/>
      <c r="G962" s="25"/>
    </row>
    <row r="963">
      <c r="B963" s="48"/>
      <c r="D963" s="25"/>
      <c r="F963" s="25"/>
      <c r="G963" s="25"/>
    </row>
    <row r="964">
      <c r="B964" s="48"/>
      <c r="D964" s="25"/>
      <c r="F964" s="25"/>
      <c r="G964" s="25"/>
    </row>
    <row r="965">
      <c r="B965" s="48"/>
      <c r="D965" s="25"/>
      <c r="F965" s="25"/>
      <c r="G965" s="25"/>
    </row>
    <row r="966">
      <c r="B966" s="48"/>
      <c r="D966" s="25"/>
      <c r="F966" s="25"/>
      <c r="G966" s="25"/>
    </row>
    <row r="967">
      <c r="B967" s="48"/>
      <c r="D967" s="25"/>
      <c r="F967" s="25"/>
      <c r="G967" s="25"/>
    </row>
    <row r="968">
      <c r="B968" s="48"/>
      <c r="D968" s="25"/>
      <c r="F968" s="25"/>
      <c r="G968" s="25"/>
    </row>
    <row r="969">
      <c r="B969" s="48"/>
      <c r="D969" s="25"/>
      <c r="F969" s="25"/>
      <c r="G969" s="25"/>
    </row>
    <row r="970">
      <c r="B970" s="48"/>
      <c r="D970" s="25"/>
      <c r="F970" s="25"/>
      <c r="G970" s="25"/>
    </row>
    <row r="971">
      <c r="B971" s="48"/>
      <c r="D971" s="25"/>
      <c r="F971" s="25"/>
      <c r="G971" s="25"/>
    </row>
    <row r="972">
      <c r="B972" s="48"/>
      <c r="D972" s="25"/>
      <c r="F972" s="25"/>
      <c r="G972" s="25"/>
    </row>
    <row r="973">
      <c r="B973" s="48"/>
      <c r="D973" s="25"/>
      <c r="F973" s="25"/>
      <c r="G973" s="25"/>
    </row>
    <row r="974">
      <c r="B974" s="48"/>
      <c r="D974" s="25"/>
      <c r="F974" s="25"/>
      <c r="G974" s="25"/>
    </row>
    <row r="975">
      <c r="B975" s="48"/>
      <c r="D975" s="25"/>
      <c r="F975" s="25"/>
      <c r="G975" s="25"/>
    </row>
    <row r="976">
      <c r="B976" s="48"/>
      <c r="D976" s="25"/>
      <c r="F976" s="25"/>
      <c r="G976" s="25"/>
    </row>
    <row r="977">
      <c r="B977" s="48"/>
      <c r="D977" s="25"/>
      <c r="F977" s="25"/>
      <c r="G977" s="25"/>
    </row>
    <row r="978">
      <c r="B978" s="48"/>
      <c r="D978" s="25"/>
      <c r="F978" s="25"/>
      <c r="G978" s="25"/>
    </row>
    <row r="979">
      <c r="B979" s="48"/>
      <c r="D979" s="25"/>
      <c r="F979" s="25"/>
      <c r="G979" s="25"/>
    </row>
    <row r="980">
      <c r="B980" s="48"/>
      <c r="D980" s="25"/>
      <c r="F980" s="25"/>
      <c r="G980" s="25"/>
    </row>
    <row r="981">
      <c r="B981" s="48"/>
      <c r="D981" s="25"/>
      <c r="F981" s="25"/>
      <c r="G981" s="25"/>
    </row>
    <row r="982">
      <c r="B982" s="48"/>
      <c r="D982" s="25"/>
      <c r="F982" s="25"/>
      <c r="G982" s="25"/>
    </row>
    <row r="983">
      <c r="B983" s="48"/>
      <c r="D983" s="25"/>
      <c r="F983" s="25"/>
      <c r="G983" s="25"/>
    </row>
    <row r="984">
      <c r="B984" s="48"/>
      <c r="D984" s="25"/>
      <c r="F984" s="25"/>
      <c r="G984" s="25"/>
    </row>
    <row r="985">
      <c r="B985" s="48"/>
      <c r="D985" s="25"/>
      <c r="F985" s="25"/>
      <c r="G985" s="25"/>
    </row>
    <row r="986">
      <c r="B986" s="48"/>
      <c r="D986" s="25"/>
      <c r="F986" s="25"/>
      <c r="G986" s="25"/>
    </row>
    <row r="987">
      <c r="B987" s="48"/>
      <c r="D987" s="25"/>
      <c r="F987" s="25"/>
      <c r="G987" s="25"/>
    </row>
    <row r="988">
      <c r="B988" s="48"/>
      <c r="D988" s="25"/>
      <c r="F988" s="25"/>
      <c r="G988" s="25"/>
    </row>
    <row r="989">
      <c r="B989" s="48"/>
      <c r="D989" s="25"/>
      <c r="F989" s="25"/>
      <c r="G989" s="25"/>
    </row>
    <row r="990">
      <c r="B990" s="48"/>
      <c r="D990" s="25"/>
      <c r="F990" s="25"/>
      <c r="G990" s="25"/>
    </row>
    <row r="991">
      <c r="B991" s="48"/>
      <c r="D991" s="25"/>
      <c r="F991" s="25"/>
      <c r="G991" s="25"/>
    </row>
    <row r="992">
      <c r="B992" s="48"/>
      <c r="D992" s="25"/>
      <c r="F992" s="25"/>
      <c r="G992" s="25"/>
    </row>
    <row r="993">
      <c r="B993" s="48"/>
      <c r="D993" s="25"/>
      <c r="F993" s="25"/>
      <c r="G993" s="25"/>
    </row>
    <row r="994">
      <c r="B994" s="48"/>
      <c r="D994" s="25"/>
      <c r="F994" s="25"/>
      <c r="G994" s="25"/>
    </row>
    <row r="995">
      <c r="B995" s="48"/>
      <c r="D995" s="25"/>
      <c r="F995" s="25"/>
      <c r="G995" s="25"/>
    </row>
    <row r="996">
      <c r="B996" s="48"/>
      <c r="D996" s="25"/>
      <c r="F996" s="25"/>
      <c r="G996" s="25"/>
    </row>
    <row r="997">
      <c r="B997" s="48"/>
      <c r="D997" s="25"/>
      <c r="F997" s="25"/>
      <c r="G997" s="25"/>
    </row>
    <row r="998">
      <c r="B998" s="48"/>
      <c r="D998" s="25"/>
      <c r="F998" s="25"/>
      <c r="G998" s="25"/>
    </row>
    <row r="999">
      <c r="B999" s="48"/>
      <c r="D999" s="25"/>
      <c r="F999" s="25"/>
      <c r="G999" s="25"/>
    </row>
    <row r="1000">
      <c r="B1000" s="48"/>
      <c r="D1000" s="25"/>
      <c r="F1000" s="25"/>
      <c r="G1000" s="25"/>
    </row>
    <row r="1001">
      <c r="B1001" s="48"/>
      <c r="D1001" s="25"/>
      <c r="F1001" s="25"/>
      <c r="G1001" s="25"/>
    </row>
    <row r="1002">
      <c r="B1002" s="48"/>
      <c r="D1002" s="25"/>
      <c r="F1002" s="25"/>
      <c r="G1002" s="25"/>
    </row>
    <row r="1003">
      <c r="B1003" s="48"/>
      <c r="D1003" s="25"/>
      <c r="F1003" s="25"/>
      <c r="G1003" s="25"/>
    </row>
    <row r="1004">
      <c r="B1004" s="48"/>
      <c r="D1004" s="25"/>
      <c r="F1004" s="25"/>
      <c r="G1004" s="25"/>
    </row>
    <row r="1005">
      <c r="B1005" s="48"/>
      <c r="D1005" s="25"/>
      <c r="F1005" s="25"/>
      <c r="G1005" s="25"/>
    </row>
    <row r="1006">
      <c r="B1006" s="48"/>
      <c r="D1006" s="25"/>
      <c r="F1006" s="25"/>
      <c r="G1006" s="25"/>
    </row>
    <row r="1007">
      <c r="B1007" s="48"/>
      <c r="D1007" s="25"/>
      <c r="F1007" s="25"/>
      <c r="G1007" s="25"/>
    </row>
    <row r="1008">
      <c r="B1008" s="48"/>
      <c r="D1008" s="25"/>
      <c r="F1008" s="25"/>
      <c r="G1008" s="25"/>
    </row>
    <row r="1009">
      <c r="B1009" s="48"/>
      <c r="D1009" s="25"/>
      <c r="F1009" s="25"/>
      <c r="G1009" s="25"/>
    </row>
    <row r="1010">
      <c r="B1010" s="48"/>
      <c r="D1010" s="25"/>
      <c r="F1010" s="25"/>
      <c r="G1010" s="25"/>
    </row>
    <row r="1011">
      <c r="B1011" s="48"/>
      <c r="D1011" s="25"/>
      <c r="F1011" s="25"/>
      <c r="G1011" s="25"/>
    </row>
    <row r="1012">
      <c r="B1012" s="48"/>
      <c r="D1012" s="25"/>
      <c r="F1012" s="25"/>
      <c r="G1012" s="25"/>
    </row>
    <row r="1013">
      <c r="B1013" s="48"/>
      <c r="D1013" s="25"/>
      <c r="F1013" s="25"/>
      <c r="G1013" s="25"/>
    </row>
    <row r="1014">
      <c r="B1014" s="48"/>
      <c r="D1014" s="25"/>
      <c r="F1014" s="25"/>
      <c r="G1014" s="25"/>
    </row>
    <row r="1015">
      <c r="B1015" s="48"/>
      <c r="D1015" s="25"/>
      <c r="F1015" s="25"/>
      <c r="G1015" s="25"/>
    </row>
    <row r="1016">
      <c r="B1016" s="48"/>
      <c r="D1016" s="25"/>
      <c r="F1016" s="25"/>
      <c r="G1016" s="25"/>
    </row>
    <row r="1017">
      <c r="B1017" s="48"/>
      <c r="D1017" s="25"/>
      <c r="F1017" s="25"/>
      <c r="G1017" s="25"/>
    </row>
    <row r="1018">
      <c r="B1018" s="48"/>
      <c r="D1018" s="25"/>
      <c r="F1018" s="25"/>
      <c r="G1018" s="25"/>
    </row>
    <row r="1019">
      <c r="B1019" s="48"/>
      <c r="D1019" s="25"/>
      <c r="F1019" s="25"/>
      <c r="G1019" s="25"/>
    </row>
    <row r="1020">
      <c r="B1020" s="48"/>
      <c r="D1020" s="25"/>
      <c r="F1020" s="25"/>
      <c r="G1020" s="25"/>
    </row>
    <row r="1021">
      <c r="B1021" s="48"/>
      <c r="D1021" s="25"/>
      <c r="F1021" s="25"/>
      <c r="G1021" s="25"/>
    </row>
    <row r="1022">
      <c r="B1022" s="48"/>
      <c r="D1022" s="25"/>
      <c r="F1022" s="25"/>
      <c r="G1022" s="25"/>
    </row>
    <row r="1023">
      <c r="B1023" s="48"/>
      <c r="D1023" s="25"/>
      <c r="F1023" s="25"/>
      <c r="G1023" s="25"/>
    </row>
    <row r="1024">
      <c r="B1024" s="48"/>
      <c r="D1024" s="25"/>
      <c r="F1024" s="25"/>
      <c r="G1024" s="25"/>
    </row>
    <row r="1025">
      <c r="B1025" s="48"/>
      <c r="D1025" s="25"/>
      <c r="F1025" s="25"/>
      <c r="G1025" s="25"/>
    </row>
    <row r="1026">
      <c r="B1026" s="48"/>
      <c r="D1026" s="25"/>
      <c r="F1026" s="25"/>
      <c r="G1026" s="25"/>
    </row>
    <row r="1027">
      <c r="B1027" s="48"/>
      <c r="D1027" s="25"/>
      <c r="F1027" s="25"/>
      <c r="G1027" s="25"/>
    </row>
    <row r="1028">
      <c r="B1028" s="48"/>
      <c r="D1028" s="25"/>
      <c r="F1028" s="25"/>
      <c r="G1028" s="25"/>
    </row>
    <row r="1029">
      <c r="B1029" s="48"/>
      <c r="D1029" s="25"/>
      <c r="F1029" s="25"/>
      <c r="G1029" s="25"/>
    </row>
    <row r="1030">
      <c r="B1030" s="48"/>
      <c r="D1030" s="25"/>
      <c r="F1030" s="25"/>
      <c r="G1030" s="25"/>
    </row>
    <row r="1031">
      <c r="B1031" s="48"/>
      <c r="D1031" s="25"/>
      <c r="F1031" s="25"/>
      <c r="G1031" s="25"/>
    </row>
    <row r="1032">
      <c r="B1032" s="48"/>
      <c r="D1032" s="25"/>
      <c r="F1032" s="25"/>
      <c r="G1032" s="25"/>
    </row>
    <row r="1033">
      <c r="B1033" s="48"/>
      <c r="D1033" s="25"/>
      <c r="F1033" s="25"/>
      <c r="G1033" s="25"/>
    </row>
    <row r="1034">
      <c r="B1034" s="48"/>
      <c r="D1034" s="25"/>
      <c r="F1034" s="25"/>
      <c r="G1034" s="25"/>
    </row>
    <row r="1035">
      <c r="B1035" s="48"/>
      <c r="D1035" s="25"/>
      <c r="F1035" s="25"/>
      <c r="G1035" s="25"/>
    </row>
    <row r="1036">
      <c r="B1036" s="48"/>
      <c r="D1036" s="25"/>
      <c r="F1036" s="25"/>
      <c r="G1036" s="25"/>
    </row>
    <row r="1037">
      <c r="B1037" s="48"/>
      <c r="D1037" s="25"/>
      <c r="F1037" s="25"/>
      <c r="G1037" s="25"/>
    </row>
    <row r="1038">
      <c r="B1038" s="48"/>
      <c r="D1038" s="25"/>
      <c r="F1038" s="25"/>
      <c r="G1038" s="25"/>
    </row>
    <row r="1039">
      <c r="B1039" s="48"/>
      <c r="D1039" s="25"/>
      <c r="F1039" s="25"/>
      <c r="G1039" s="25"/>
    </row>
    <row r="1040">
      <c r="B1040" s="48"/>
      <c r="D1040" s="25"/>
      <c r="F1040" s="25"/>
      <c r="G1040" s="25"/>
    </row>
    <row r="1041">
      <c r="B1041" s="48"/>
      <c r="D1041" s="25"/>
      <c r="F1041" s="25"/>
      <c r="G1041" s="25"/>
    </row>
    <row r="1042">
      <c r="B1042" s="48"/>
      <c r="D1042" s="25"/>
      <c r="F1042" s="25"/>
      <c r="G1042" s="25"/>
    </row>
    <row r="1043">
      <c r="B1043" s="48"/>
      <c r="D1043" s="25"/>
      <c r="F1043" s="25"/>
      <c r="G1043" s="25"/>
    </row>
    <row r="1044">
      <c r="B1044" s="48"/>
      <c r="D1044" s="25"/>
      <c r="F1044" s="25"/>
      <c r="G1044" s="25"/>
    </row>
    <row r="1045">
      <c r="B1045" s="48"/>
      <c r="D1045" s="25"/>
      <c r="F1045" s="25"/>
      <c r="G1045" s="25"/>
    </row>
    <row r="1046">
      <c r="B1046" s="48"/>
      <c r="D1046" s="25"/>
      <c r="F1046" s="25"/>
      <c r="G1046" s="25"/>
    </row>
    <row r="1047">
      <c r="B1047" s="48"/>
      <c r="D1047" s="25"/>
      <c r="F1047" s="25"/>
      <c r="G1047" s="2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3" max="6" width="18.88"/>
    <col customWidth="1" min="8" max="8" width="22.38"/>
    <col customWidth="1" min="10" max="10" width="25.5"/>
  </cols>
  <sheetData>
    <row r="1">
      <c r="A1" s="1" t="s">
        <v>164</v>
      </c>
      <c r="B1" s="49" t="s">
        <v>10</v>
      </c>
      <c r="C1" s="50" t="s">
        <v>11</v>
      </c>
      <c r="D1" s="51" t="s">
        <v>12</v>
      </c>
      <c r="E1" s="52" t="s">
        <v>13</v>
      </c>
      <c r="F1" s="53" t="s">
        <v>12</v>
      </c>
      <c r="G1" s="30" t="s">
        <v>14</v>
      </c>
      <c r="H1" s="54" t="s">
        <v>16</v>
      </c>
      <c r="I1" s="54" t="s">
        <v>17</v>
      </c>
      <c r="J1" s="54" t="s">
        <v>165</v>
      </c>
      <c r="K1" s="26"/>
      <c r="L1" s="25"/>
    </row>
    <row r="2">
      <c r="A2" s="210"/>
      <c r="B2" s="211">
        <v>45720.0</v>
      </c>
      <c r="C2" s="210" t="s">
        <v>520</v>
      </c>
      <c r="D2" s="212">
        <f>56995968357</f>
        <v>56995968357</v>
      </c>
      <c r="E2" s="210" t="s">
        <v>810</v>
      </c>
      <c r="F2" s="213" t="s">
        <v>811</v>
      </c>
      <c r="G2" s="213" t="s">
        <v>289</v>
      </c>
      <c r="H2" s="210" t="s">
        <v>812</v>
      </c>
      <c r="I2" s="210"/>
      <c r="J2" s="210" t="s">
        <v>813</v>
      </c>
    </row>
    <row r="3">
      <c r="B3" s="42">
        <v>45724.0</v>
      </c>
      <c r="C3" s="33" t="s">
        <v>814</v>
      </c>
      <c r="D3" s="34"/>
      <c r="E3" s="33" t="s">
        <v>815</v>
      </c>
      <c r="F3" s="35" t="s">
        <v>816</v>
      </c>
      <c r="G3" s="35" t="s">
        <v>22</v>
      </c>
      <c r="H3" s="33" t="s">
        <v>817</v>
      </c>
      <c r="I3" s="45"/>
      <c r="J3" s="33" t="s">
        <v>813</v>
      </c>
    </row>
    <row r="4">
      <c r="A4" s="45"/>
      <c r="B4" s="42">
        <v>45724.0</v>
      </c>
      <c r="C4" s="33" t="s">
        <v>814</v>
      </c>
      <c r="D4" s="34"/>
      <c r="E4" s="33" t="s">
        <v>818</v>
      </c>
      <c r="F4" s="35" t="s">
        <v>819</v>
      </c>
      <c r="G4" s="35" t="s">
        <v>22</v>
      </c>
      <c r="H4" s="33" t="s">
        <v>817</v>
      </c>
      <c r="I4" s="33"/>
      <c r="J4" s="33" t="s">
        <v>813</v>
      </c>
    </row>
    <row r="5">
      <c r="A5" s="45"/>
      <c r="B5" s="32">
        <v>45727.0</v>
      </c>
      <c r="C5" s="45"/>
      <c r="D5" s="34"/>
      <c r="E5" s="33" t="s">
        <v>315</v>
      </c>
      <c r="F5" s="34"/>
      <c r="G5" s="35" t="s">
        <v>22</v>
      </c>
      <c r="H5" s="33" t="s">
        <v>820</v>
      </c>
      <c r="I5" s="33"/>
      <c r="J5" s="33" t="s">
        <v>813</v>
      </c>
    </row>
    <row r="6">
      <c r="A6" s="45"/>
      <c r="B6" s="32">
        <v>45727.0</v>
      </c>
      <c r="C6" s="33" t="s">
        <v>321</v>
      </c>
      <c r="D6" s="34"/>
      <c r="E6" s="33" t="s">
        <v>821</v>
      </c>
      <c r="F6" s="35" t="s">
        <v>822</v>
      </c>
      <c r="G6" s="35" t="s">
        <v>341</v>
      </c>
      <c r="H6" s="33" t="s">
        <v>823</v>
      </c>
      <c r="I6" s="33"/>
      <c r="J6" s="33" t="s">
        <v>813</v>
      </c>
    </row>
    <row r="7">
      <c r="A7" s="45"/>
      <c r="B7" s="214">
        <v>45727.0</v>
      </c>
      <c r="C7" s="33" t="s">
        <v>321</v>
      </c>
      <c r="D7" s="34"/>
      <c r="E7" s="33" t="s">
        <v>824</v>
      </c>
      <c r="F7" s="35" t="s">
        <v>825</v>
      </c>
      <c r="G7" s="35" t="s">
        <v>22</v>
      </c>
      <c r="H7" s="33" t="s">
        <v>181</v>
      </c>
      <c r="I7" s="33"/>
      <c r="J7" s="33" t="s">
        <v>813</v>
      </c>
    </row>
    <row r="8">
      <c r="A8" s="45"/>
      <c r="B8" s="32">
        <v>45728.0</v>
      </c>
      <c r="C8" s="33" t="s">
        <v>65</v>
      </c>
      <c r="D8" s="34"/>
      <c r="E8" s="33" t="s">
        <v>826</v>
      </c>
      <c r="F8" s="34"/>
      <c r="G8" s="35" t="s">
        <v>22</v>
      </c>
      <c r="H8" s="33" t="s">
        <v>133</v>
      </c>
      <c r="I8" s="33"/>
      <c r="J8" s="33" t="s">
        <v>813</v>
      </c>
    </row>
    <row r="9">
      <c r="A9" s="45"/>
      <c r="B9" s="32">
        <v>45729.0</v>
      </c>
      <c r="C9" s="33" t="s">
        <v>827</v>
      </c>
      <c r="D9" s="34"/>
      <c r="E9" s="33" t="s">
        <v>828</v>
      </c>
      <c r="F9" s="34"/>
      <c r="G9" s="35" t="s">
        <v>22</v>
      </c>
      <c r="H9" s="33" t="s">
        <v>829</v>
      </c>
      <c r="I9" s="33"/>
      <c r="J9" s="33" t="s">
        <v>813</v>
      </c>
    </row>
    <row r="10">
      <c r="A10" s="45"/>
      <c r="B10" s="32">
        <v>45729.0</v>
      </c>
      <c r="C10" s="33" t="s">
        <v>321</v>
      </c>
      <c r="D10" s="34"/>
      <c r="E10" s="33" t="s">
        <v>830</v>
      </c>
      <c r="F10" s="35" t="s">
        <v>831</v>
      </c>
      <c r="G10" s="35" t="s">
        <v>22</v>
      </c>
      <c r="H10" s="33" t="s">
        <v>829</v>
      </c>
      <c r="I10" s="33"/>
      <c r="J10" s="33" t="s">
        <v>813</v>
      </c>
    </row>
    <row r="11">
      <c r="A11" s="45"/>
      <c r="B11" s="32">
        <v>45729.0</v>
      </c>
      <c r="C11" s="33" t="s">
        <v>321</v>
      </c>
      <c r="D11" s="34"/>
      <c r="E11" s="33" t="s">
        <v>832</v>
      </c>
      <c r="F11" s="35" t="s">
        <v>833</v>
      </c>
      <c r="G11" s="35" t="s">
        <v>22</v>
      </c>
      <c r="H11" s="33" t="s">
        <v>834</v>
      </c>
      <c r="I11" s="33"/>
      <c r="J11" s="33" t="s">
        <v>813</v>
      </c>
    </row>
    <row r="12">
      <c r="A12" s="45"/>
      <c r="B12" s="32">
        <v>45730.0</v>
      </c>
      <c r="C12" s="33" t="s">
        <v>835</v>
      </c>
      <c r="D12" s="34"/>
      <c r="E12" s="33" t="s">
        <v>836</v>
      </c>
      <c r="F12" s="34"/>
      <c r="G12" s="35" t="s">
        <v>837</v>
      </c>
      <c r="H12" s="33" t="s">
        <v>838</v>
      </c>
      <c r="I12" s="45"/>
      <c r="J12" s="33" t="s">
        <v>813</v>
      </c>
    </row>
    <row r="13">
      <c r="A13" s="33"/>
      <c r="B13" s="32">
        <v>45730.0</v>
      </c>
      <c r="C13" s="33" t="s">
        <v>835</v>
      </c>
      <c r="D13" s="34"/>
      <c r="E13" s="33" t="s">
        <v>839</v>
      </c>
      <c r="F13" s="34"/>
      <c r="G13" s="35" t="s">
        <v>840</v>
      </c>
      <c r="H13" s="33" t="s">
        <v>841</v>
      </c>
      <c r="I13" s="45"/>
      <c r="J13" s="33" t="s">
        <v>842</v>
      </c>
    </row>
    <row r="14">
      <c r="A14" s="45"/>
      <c r="B14" s="32">
        <v>45733.0</v>
      </c>
      <c r="C14" s="33" t="s">
        <v>65</v>
      </c>
      <c r="D14" s="34"/>
      <c r="E14" s="33" t="s">
        <v>843</v>
      </c>
      <c r="F14" s="34"/>
      <c r="G14" s="35" t="s">
        <v>22</v>
      </c>
      <c r="H14" s="45"/>
      <c r="I14" s="33"/>
      <c r="J14" s="33" t="s">
        <v>813</v>
      </c>
    </row>
    <row r="15">
      <c r="A15" s="45"/>
      <c r="B15" s="32">
        <v>45734.0</v>
      </c>
      <c r="C15" s="45"/>
      <c r="D15" s="34"/>
      <c r="E15" s="33" t="s">
        <v>844</v>
      </c>
      <c r="F15" s="34"/>
      <c r="G15" s="35" t="s">
        <v>27</v>
      </c>
      <c r="H15" s="45"/>
      <c r="I15" s="33"/>
      <c r="J15" s="33" t="s">
        <v>813</v>
      </c>
    </row>
    <row r="16">
      <c r="A16" s="45"/>
      <c r="B16" s="32">
        <v>45734.0</v>
      </c>
      <c r="C16" s="33" t="s">
        <v>65</v>
      </c>
      <c r="D16" s="34"/>
      <c r="E16" s="33" t="s">
        <v>845</v>
      </c>
      <c r="F16" s="34"/>
      <c r="G16" s="35" t="s">
        <v>846</v>
      </c>
      <c r="H16" s="45"/>
      <c r="I16" s="33"/>
      <c r="J16" s="33" t="s">
        <v>847</v>
      </c>
      <c r="K16" s="1" t="s">
        <v>848</v>
      </c>
    </row>
    <row r="17">
      <c r="A17" s="45"/>
      <c r="B17" s="32">
        <v>45734.0</v>
      </c>
      <c r="C17" s="33" t="s">
        <v>321</v>
      </c>
      <c r="D17" s="34"/>
      <c r="E17" s="33" t="s">
        <v>849</v>
      </c>
      <c r="F17" s="35" t="s">
        <v>850</v>
      </c>
      <c r="G17" s="35" t="s">
        <v>22</v>
      </c>
      <c r="H17" s="45"/>
      <c r="I17" s="33"/>
      <c r="J17" s="33" t="s">
        <v>813</v>
      </c>
    </row>
    <row r="18">
      <c r="A18" s="45"/>
      <c r="B18" s="32">
        <v>45737.0</v>
      </c>
      <c r="C18" s="33" t="s">
        <v>835</v>
      </c>
      <c r="D18" s="34"/>
      <c r="E18" s="33" t="s">
        <v>851</v>
      </c>
      <c r="F18" s="34"/>
      <c r="G18" s="35" t="s">
        <v>852</v>
      </c>
      <c r="H18" s="33" t="s">
        <v>853</v>
      </c>
      <c r="I18" s="45"/>
      <c r="J18" s="33" t="s">
        <v>842</v>
      </c>
    </row>
    <row r="19">
      <c r="A19" s="45"/>
      <c r="B19" s="32">
        <v>45738.0</v>
      </c>
      <c r="C19" s="33" t="s">
        <v>321</v>
      </c>
      <c r="D19" s="34"/>
      <c r="E19" s="33" t="s">
        <v>854</v>
      </c>
      <c r="F19" s="215" t="s">
        <v>855</v>
      </c>
      <c r="G19" s="35" t="s">
        <v>22</v>
      </c>
      <c r="H19" s="33" t="s">
        <v>856</v>
      </c>
      <c r="I19" s="33"/>
      <c r="J19" s="33" t="s">
        <v>813</v>
      </c>
    </row>
    <row r="20">
      <c r="A20" s="45"/>
      <c r="B20" s="214">
        <v>45738.0</v>
      </c>
      <c r="C20" s="33" t="s">
        <v>857</v>
      </c>
      <c r="D20" s="34"/>
      <c r="E20" s="33" t="s">
        <v>858</v>
      </c>
      <c r="F20" s="34"/>
      <c r="G20" s="35" t="s">
        <v>22</v>
      </c>
      <c r="H20" s="33" t="s">
        <v>473</v>
      </c>
      <c r="I20" s="33"/>
      <c r="J20" s="33" t="s">
        <v>813</v>
      </c>
      <c r="K20" s="1" t="s">
        <v>0</v>
      </c>
    </row>
    <row r="21">
      <c r="A21" s="45"/>
      <c r="B21" s="214">
        <v>45738.0</v>
      </c>
      <c r="C21" s="33" t="s">
        <v>859</v>
      </c>
      <c r="D21" s="34"/>
      <c r="E21" s="33" t="s">
        <v>860</v>
      </c>
      <c r="F21" s="35" t="s">
        <v>861</v>
      </c>
      <c r="G21" s="35" t="s">
        <v>22</v>
      </c>
      <c r="H21" s="33" t="s">
        <v>203</v>
      </c>
      <c r="I21" s="33"/>
      <c r="J21" s="33" t="s">
        <v>813</v>
      </c>
    </row>
    <row r="22">
      <c r="A22" s="45"/>
      <c r="B22" s="214">
        <v>45741.0</v>
      </c>
      <c r="C22" s="33" t="s">
        <v>321</v>
      </c>
      <c r="D22" s="34"/>
      <c r="E22" s="33" t="s">
        <v>489</v>
      </c>
      <c r="F22" s="35" t="s">
        <v>862</v>
      </c>
      <c r="G22" s="35" t="s">
        <v>22</v>
      </c>
      <c r="H22" s="33" t="s">
        <v>695</v>
      </c>
      <c r="I22" s="45"/>
      <c r="J22" s="33" t="s">
        <v>813</v>
      </c>
    </row>
    <row r="23">
      <c r="A23" s="45"/>
      <c r="B23" s="214">
        <v>45741.0</v>
      </c>
      <c r="C23" s="33" t="s">
        <v>321</v>
      </c>
      <c r="D23" s="34"/>
      <c r="E23" s="33" t="s">
        <v>863</v>
      </c>
      <c r="F23" s="35" t="s">
        <v>864</v>
      </c>
      <c r="G23" s="35" t="s">
        <v>22</v>
      </c>
      <c r="H23" s="33" t="s">
        <v>144</v>
      </c>
      <c r="I23" s="45"/>
      <c r="J23" s="33" t="s">
        <v>813</v>
      </c>
    </row>
    <row r="24">
      <c r="A24" s="45"/>
      <c r="B24" s="32">
        <v>45742.0</v>
      </c>
      <c r="C24" s="33" t="s">
        <v>859</v>
      </c>
      <c r="D24" s="34"/>
      <c r="E24" s="33" t="s">
        <v>865</v>
      </c>
      <c r="F24" s="34"/>
      <c r="G24" s="35" t="s">
        <v>289</v>
      </c>
      <c r="H24" s="33" t="s">
        <v>866</v>
      </c>
      <c r="I24" s="33" t="s">
        <v>243</v>
      </c>
      <c r="J24" s="33" t="s">
        <v>813</v>
      </c>
    </row>
    <row r="25">
      <c r="A25" s="45"/>
      <c r="B25" s="32">
        <v>45742.0</v>
      </c>
      <c r="C25" s="33" t="s">
        <v>270</v>
      </c>
      <c r="D25" s="35"/>
      <c r="E25" s="33" t="s">
        <v>226</v>
      </c>
      <c r="F25" s="35" t="s">
        <v>867</v>
      </c>
      <c r="G25" s="35" t="s">
        <v>22</v>
      </c>
      <c r="H25" s="33" t="s">
        <v>868</v>
      </c>
      <c r="I25" s="33" t="s">
        <v>243</v>
      </c>
      <c r="J25" s="33" t="s">
        <v>813</v>
      </c>
    </row>
    <row r="26">
      <c r="A26" s="45"/>
      <c r="B26" s="32">
        <v>45743.0</v>
      </c>
      <c r="C26" s="33" t="s">
        <v>814</v>
      </c>
      <c r="D26" s="34"/>
      <c r="E26" s="33" t="s">
        <v>869</v>
      </c>
      <c r="F26" s="35" t="s">
        <v>870</v>
      </c>
      <c r="G26" s="35" t="s">
        <v>22</v>
      </c>
      <c r="H26" s="45"/>
      <c r="I26" s="33" t="s">
        <v>243</v>
      </c>
      <c r="J26" s="45"/>
    </row>
    <row r="27">
      <c r="A27" s="45"/>
      <c r="B27" s="32">
        <v>45743.0</v>
      </c>
      <c r="C27" s="33" t="s">
        <v>814</v>
      </c>
      <c r="D27" s="34"/>
      <c r="E27" s="33" t="s">
        <v>871</v>
      </c>
      <c r="F27" s="35" t="s">
        <v>872</v>
      </c>
      <c r="G27" s="35" t="s">
        <v>22</v>
      </c>
      <c r="H27" s="45"/>
      <c r="I27" s="33" t="s">
        <v>243</v>
      </c>
      <c r="J27" s="33" t="s">
        <v>873</v>
      </c>
    </row>
    <row r="28">
      <c r="A28" s="45"/>
      <c r="B28" s="32">
        <v>45743.0</v>
      </c>
      <c r="C28" s="33" t="s">
        <v>814</v>
      </c>
      <c r="D28" s="34"/>
      <c r="E28" s="33" t="s">
        <v>874</v>
      </c>
      <c r="F28" s="35" t="s">
        <v>875</v>
      </c>
      <c r="G28" s="35" t="s">
        <v>22</v>
      </c>
      <c r="H28" s="45"/>
      <c r="I28" s="33" t="s">
        <v>243</v>
      </c>
      <c r="J28" s="33" t="s">
        <v>873</v>
      </c>
    </row>
    <row r="29">
      <c r="A29" s="45"/>
      <c r="B29" s="32">
        <v>45743.0</v>
      </c>
      <c r="C29" s="33" t="s">
        <v>814</v>
      </c>
      <c r="D29" s="34"/>
      <c r="E29" s="33" t="s">
        <v>876</v>
      </c>
      <c r="F29" s="35" t="s">
        <v>877</v>
      </c>
      <c r="G29" s="35" t="s">
        <v>22</v>
      </c>
      <c r="H29" s="45"/>
      <c r="I29" s="33" t="s">
        <v>243</v>
      </c>
      <c r="J29" s="33" t="s">
        <v>813</v>
      </c>
    </row>
    <row r="30">
      <c r="A30" s="45"/>
      <c r="B30" s="32">
        <v>45743.0</v>
      </c>
      <c r="C30" s="33" t="s">
        <v>520</v>
      </c>
      <c r="D30" s="34"/>
      <c r="E30" s="33" t="s">
        <v>878</v>
      </c>
      <c r="F30" s="35" t="s">
        <v>879</v>
      </c>
      <c r="G30" s="35" t="s">
        <v>27</v>
      </c>
      <c r="H30" s="33" t="s">
        <v>86</v>
      </c>
      <c r="I30" s="45"/>
      <c r="J30" s="33" t="s">
        <v>813</v>
      </c>
    </row>
    <row r="31">
      <c r="A31" s="45"/>
      <c r="B31" s="32">
        <v>45743.0</v>
      </c>
      <c r="C31" s="33" t="s">
        <v>520</v>
      </c>
      <c r="D31" s="34"/>
      <c r="E31" s="33" t="s">
        <v>810</v>
      </c>
      <c r="F31" s="35" t="s">
        <v>811</v>
      </c>
      <c r="G31" s="35" t="s">
        <v>27</v>
      </c>
      <c r="H31" s="33" t="s">
        <v>880</v>
      </c>
      <c r="I31" s="45"/>
      <c r="J31" s="33" t="s">
        <v>813</v>
      </c>
    </row>
    <row r="32">
      <c r="A32" s="45"/>
      <c r="B32" s="32">
        <v>45747.0</v>
      </c>
      <c r="C32" s="33" t="s">
        <v>835</v>
      </c>
      <c r="D32" s="34"/>
      <c r="E32" s="33" t="s">
        <v>881</v>
      </c>
      <c r="F32" s="35" t="s">
        <v>882</v>
      </c>
      <c r="G32" s="35" t="s">
        <v>883</v>
      </c>
      <c r="H32" s="33" t="s">
        <v>884</v>
      </c>
      <c r="I32" s="45"/>
      <c r="J32" s="33" t="s">
        <v>813</v>
      </c>
    </row>
    <row r="33">
      <c r="A33" s="45"/>
      <c r="B33" s="42">
        <v>45748.0</v>
      </c>
      <c r="C33" s="33" t="s">
        <v>65</v>
      </c>
      <c r="D33" s="35" t="s">
        <v>885</v>
      </c>
      <c r="E33" s="33" t="s">
        <v>886</v>
      </c>
      <c r="F33" s="35" t="s">
        <v>887</v>
      </c>
      <c r="G33" s="35" t="s">
        <v>22</v>
      </c>
      <c r="H33" s="33" t="s">
        <v>888</v>
      </c>
      <c r="I33" s="33" t="s">
        <v>95</v>
      </c>
      <c r="J33" s="33" t="s">
        <v>813</v>
      </c>
    </row>
    <row r="34">
      <c r="A34" s="45"/>
      <c r="B34" s="42">
        <v>45748.0</v>
      </c>
      <c r="C34" s="33" t="s">
        <v>65</v>
      </c>
      <c r="D34" s="34"/>
      <c r="E34" s="33" t="s">
        <v>241</v>
      </c>
      <c r="F34" s="35" t="s">
        <v>889</v>
      </c>
      <c r="G34" s="35" t="s">
        <v>22</v>
      </c>
      <c r="H34" s="33" t="s">
        <v>888</v>
      </c>
      <c r="I34" s="33" t="s">
        <v>95</v>
      </c>
      <c r="J34" s="33" t="s">
        <v>813</v>
      </c>
    </row>
    <row r="35">
      <c r="A35" s="45"/>
      <c r="B35" s="42">
        <v>45748.0</v>
      </c>
      <c r="C35" s="33" t="s">
        <v>321</v>
      </c>
      <c r="D35" s="34"/>
      <c r="E35" s="33" t="s">
        <v>890</v>
      </c>
      <c r="F35" s="35" t="s">
        <v>891</v>
      </c>
      <c r="G35" s="35" t="s">
        <v>22</v>
      </c>
      <c r="H35" s="33" t="s">
        <v>148</v>
      </c>
      <c r="I35" s="33" t="s">
        <v>95</v>
      </c>
      <c r="J35" s="33" t="s">
        <v>813</v>
      </c>
    </row>
    <row r="36">
      <c r="A36" s="45"/>
      <c r="B36" s="42">
        <v>45748.0</v>
      </c>
      <c r="C36" s="33" t="s">
        <v>321</v>
      </c>
      <c r="D36" s="34"/>
      <c r="E36" s="33" t="s">
        <v>892</v>
      </c>
      <c r="F36" s="35" t="s">
        <v>893</v>
      </c>
      <c r="G36" s="35" t="s">
        <v>22</v>
      </c>
      <c r="H36" s="33" t="s">
        <v>148</v>
      </c>
      <c r="I36" s="33" t="s">
        <v>95</v>
      </c>
      <c r="J36" s="33" t="s">
        <v>813</v>
      </c>
    </row>
    <row r="37">
      <c r="A37" s="45"/>
      <c r="B37" s="42">
        <v>45748.0</v>
      </c>
      <c r="C37" s="33" t="s">
        <v>321</v>
      </c>
      <c r="D37" s="34"/>
      <c r="E37" s="33" t="s">
        <v>894</v>
      </c>
      <c r="F37" s="35" t="s">
        <v>895</v>
      </c>
      <c r="G37" s="35" t="s">
        <v>22</v>
      </c>
      <c r="H37" s="33" t="s">
        <v>148</v>
      </c>
      <c r="I37" s="33" t="s">
        <v>95</v>
      </c>
      <c r="J37" s="33" t="s">
        <v>813</v>
      </c>
    </row>
    <row r="38">
      <c r="A38" s="45"/>
      <c r="B38" s="42">
        <v>45748.0</v>
      </c>
      <c r="C38" s="33" t="s">
        <v>65</v>
      </c>
      <c r="D38" s="34"/>
      <c r="E38" s="33" t="s">
        <v>896</v>
      </c>
      <c r="F38" s="35" t="s">
        <v>897</v>
      </c>
      <c r="G38" s="35" t="s">
        <v>22</v>
      </c>
      <c r="H38" s="33" t="s">
        <v>898</v>
      </c>
      <c r="I38" s="33" t="s">
        <v>95</v>
      </c>
      <c r="J38" s="33" t="s">
        <v>813</v>
      </c>
    </row>
    <row r="39">
      <c r="A39" s="45"/>
      <c r="B39" s="42">
        <v>45749.0</v>
      </c>
      <c r="C39" s="33" t="s">
        <v>243</v>
      </c>
      <c r="D39" s="34"/>
      <c r="E39" s="33" t="s">
        <v>899</v>
      </c>
      <c r="F39" s="35" t="s">
        <v>900</v>
      </c>
      <c r="G39" s="35" t="s">
        <v>22</v>
      </c>
      <c r="H39" s="33" t="s">
        <v>901</v>
      </c>
      <c r="I39" s="33" t="s">
        <v>243</v>
      </c>
      <c r="J39" s="33" t="s">
        <v>813</v>
      </c>
    </row>
    <row r="40">
      <c r="A40" s="45"/>
      <c r="B40" s="42">
        <v>45749.0</v>
      </c>
      <c r="C40" s="33" t="s">
        <v>270</v>
      </c>
      <c r="D40" s="34"/>
      <c r="E40" s="33" t="s">
        <v>902</v>
      </c>
      <c r="F40" s="35" t="s">
        <v>903</v>
      </c>
      <c r="G40" s="35" t="s">
        <v>22</v>
      </c>
      <c r="H40" s="33" t="s">
        <v>904</v>
      </c>
      <c r="I40" s="33" t="s">
        <v>243</v>
      </c>
      <c r="J40" s="33" t="s">
        <v>813</v>
      </c>
    </row>
    <row r="41">
      <c r="A41" s="45"/>
      <c r="B41" s="42">
        <v>45750.0</v>
      </c>
      <c r="C41" s="33" t="s">
        <v>321</v>
      </c>
      <c r="D41" s="34"/>
      <c r="E41" s="33" t="s">
        <v>905</v>
      </c>
      <c r="F41" s="35" t="s">
        <v>906</v>
      </c>
      <c r="G41" s="35" t="s">
        <v>22</v>
      </c>
      <c r="H41" s="33" t="s">
        <v>907</v>
      </c>
      <c r="I41" s="33" t="s">
        <v>206</v>
      </c>
      <c r="J41" s="33" t="s">
        <v>813</v>
      </c>
    </row>
    <row r="42">
      <c r="A42" s="45"/>
      <c r="B42" s="42">
        <v>45750.0</v>
      </c>
      <c r="C42" s="33" t="s">
        <v>321</v>
      </c>
      <c r="D42" s="34"/>
      <c r="E42" s="33" t="s">
        <v>908</v>
      </c>
      <c r="F42" s="35" t="s">
        <v>862</v>
      </c>
      <c r="G42" s="35" t="s">
        <v>22</v>
      </c>
      <c r="H42" s="33" t="s">
        <v>133</v>
      </c>
      <c r="I42" s="33" t="s">
        <v>206</v>
      </c>
      <c r="J42" s="33" t="s">
        <v>813</v>
      </c>
    </row>
    <row r="43">
      <c r="A43" s="45"/>
      <c r="B43" s="42">
        <v>45750.0</v>
      </c>
      <c r="C43" s="33" t="s">
        <v>321</v>
      </c>
      <c r="D43" s="34"/>
      <c r="E43" s="33" t="s">
        <v>909</v>
      </c>
      <c r="F43" s="35" t="s">
        <v>910</v>
      </c>
      <c r="G43" s="35" t="s">
        <v>22</v>
      </c>
      <c r="H43" s="33" t="s">
        <v>148</v>
      </c>
      <c r="I43" s="33" t="s">
        <v>206</v>
      </c>
      <c r="J43" s="33" t="s">
        <v>813</v>
      </c>
    </row>
    <row r="44">
      <c r="A44" s="45"/>
      <c r="B44" s="42">
        <v>45750.0</v>
      </c>
      <c r="C44" s="33" t="s">
        <v>911</v>
      </c>
      <c r="D44" s="34"/>
      <c r="E44" s="33" t="s">
        <v>912</v>
      </c>
      <c r="F44" s="34"/>
      <c r="G44" s="35" t="s">
        <v>22</v>
      </c>
      <c r="H44" s="33" t="s">
        <v>148</v>
      </c>
      <c r="I44" s="33" t="s">
        <v>206</v>
      </c>
      <c r="J44" s="33" t="s">
        <v>813</v>
      </c>
    </row>
    <row r="45">
      <c r="A45" s="45"/>
      <c r="B45" s="42">
        <v>45752.0</v>
      </c>
      <c r="C45" s="33" t="s">
        <v>321</v>
      </c>
      <c r="D45" s="34"/>
      <c r="E45" s="33" t="s">
        <v>913</v>
      </c>
      <c r="F45" s="35" t="s">
        <v>914</v>
      </c>
      <c r="G45" s="35" t="s">
        <v>22</v>
      </c>
      <c r="H45" s="33" t="s">
        <v>148</v>
      </c>
      <c r="I45" s="33" t="s">
        <v>206</v>
      </c>
      <c r="J45" s="33" t="s">
        <v>813</v>
      </c>
    </row>
    <row r="46">
      <c r="A46" s="45"/>
      <c r="B46" s="42">
        <v>45752.0</v>
      </c>
      <c r="C46" s="33" t="s">
        <v>321</v>
      </c>
      <c r="D46" s="34"/>
      <c r="E46" s="33" t="s">
        <v>915</v>
      </c>
      <c r="F46" s="35" t="s">
        <v>916</v>
      </c>
      <c r="G46" s="35" t="s">
        <v>22</v>
      </c>
      <c r="H46" s="33" t="s">
        <v>148</v>
      </c>
      <c r="I46" s="33" t="s">
        <v>206</v>
      </c>
      <c r="J46" s="33" t="s">
        <v>813</v>
      </c>
    </row>
    <row r="47">
      <c r="A47" s="45"/>
      <c r="B47" s="42">
        <v>45752.0</v>
      </c>
      <c r="C47" s="33" t="s">
        <v>321</v>
      </c>
      <c r="D47" s="35"/>
      <c r="E47" s="33" t="s">
        <v>917</v>
      </c>
      <c r="F47" s="35" t="s">
        <v>918</v>
      </c>
      <c r="G47" s="35" t="s">
        <v>22</v>
      </c>
      <c r="H47" s="33" t="s">
        <v>148</v>
      </c>
      <c r="I47" s="33" t="s">
        <v>206</v>
      </c>
      <c r="J47" s="33" t="s">
        <v>813</v>
      </c>
    </row>
    <row r="48">
      <c r="A48" s="45"/>
      <c r="B48" s="42">
        <v>45755.0</v>
      </c>
      <c r="C48" s="33" t="s">
        <v>321</v>
      </c>
      <c r="D48" s="34"/>
      <c r="E48" s="33" t="s">
        <v>116</v>
      </c>
      <c r="F48" s="35" t="s">
        <v>919</v>
      </c>
      <c r="G48" s="35" t="s">
        <v>22</v>
      </c>
      <c r="H48" s="33" t="s">
        <v>698</v>
      </c>
      <c r="I48" s="33" t="s">
        <v>920</v>
      </c>
      <c r="J48" s="33" t="s">
        <v>813</v>
      </c>
    </row>
    <row r="49">
      <c r="A49" s="45"/>
      <c r="B49" s="42">
        <v>45755.0</v>
      </c>
      <c r="C49" s="33" t="s">
        <v>921</v>
      </c>
      <c r="D49" s="34"/>
      <c r="E49" s="33" t="s">
        <v>922</v>
      </c>
      <c r="F49" s="35" t="s">
        <v>923</v>
      </c>
      <c r="G49" s="35" t="s">
        <v>289</v>
      </c>
      <c r="H49" s="33" t="s">
        <v>924</v>
      </c>
      <c r="I49" s="33" t="s">
        <v>925</v>
      </c>
      <c r="J49" s="33" t="s">
        <v>813</v>
      </c>
    </row>
    <row r="50">
      <c r="A50" s="45"/>
      <c r="B50" s="42">
        <v>45756.0</v>
      </c>
      <c r="C50" s="33" t="s">
        <v>835</v>
      </c>
      <c r="D50" s="34"/>
      <c r="E50" s="33" t="s">
        <v>926</v>
      </c>
      <c r="F50" s="34"/>
      <c r="G50" s="35" t="s">
        <v>22</v>
      </c>
      <c r="H50" s="33" t="s">
        <v>148</v>
      </c>
      <c r="I50" s="33" t="s">
        <v>243</v>
      </c>
      <c r="J50" s="33" t="s">
        <v>813</v>
      </c>
    </row>
    <row r="51">
      <c r="A51" s="45"/>
      <c r="B51" s="32">
        <v>45757.0</v>
      </c>
      <c r="C51" s="33" t="s">
        <v>40</v>
      </c>
      <c r="D51" s="34"/>
      <c r="E51" s="33" t="s">
        <v>927</v>
      </c>
      <c r="F51" s="35" t="s">
        <v>928</v>
      </c>
      <c r="G51" s="35" t="s">
        <v>22</v>
      </c>
      <c r="H51" s="33" t="s">
        <v>148</v>
      </c>
      <c r="I51" s="33" t="s">
        <v>206</v>
      </c>
      <c r="J51" s="33" t="s">
        <v>813</v>
      </c>
    </row>
    <row r="52">
      <c r="A52" s="45"/>
      <c r="B52" s="32">
        <v>45758.0</v>
      </c>
      <c r="C52" s="33" t="s">
        <v>149</v>
      </c>
      <c r="D52" s="34"/>
      <c r="E52" s="33" t="s">
        <v>929</v>
      </c>
      <c r="F52" s="34"/>
      <c r="G52" s="35" t="s">
        <v>22</v>
      </c>
      <c r="H52" s="33" t="s">
        <v>930</v>
      </c>
      <c r="I52" s="33" t="s">
        <v>243</v>
      </c>
      <c r="J52" s="33" t="s">
        <v>813</v>
      </c>
    </row>
    <row r="53">
      <c r="A53" s="45"/>
      <c r="B53" s="32">
        <v>45758.0</v>
      </c>
      <c r="C53" s="33" t="s">
        <v>931</v>
      </c>
      <c r="D53" s="34"/>
      <c r="E53" s="33" t="s">
        <v>932</v>
      </c>
      <c r="F53" s="34"/>
      <c r="G53" s="35" t="s">
        <v>27</v>
      </c>
      <c r="H53" s="33" t="s">
        <v>148</v>
      </c>
      <c r="I53" s="33" t="s">
        <v>243</v>
      </c>
      <c r="J53" s="33" t="s">
        <v>813</v>
      </c>
    </row>
    <row r="54">
      <c r="A54" s="45"/>
      <c r="B54" s="32">
        <v>45761.0</v>
      </c>
      <c r="C54" s="33" t="s">
        <v>20</v>
      </c>
      <c r="D54" s="34"/>
      <c r="E54" s="33" t="s">
        <v>933</v>
      </c>
      <c r="F54" s="34"/>
      <c r="G54" s="35" t="s">
        <v>22</v>
      </c>
      <c r="H54" s="33" t="s">
        <v>148</v>
      </c>
      <c r="I54" s="33" t="s">
        <v>95</v>
      </c>
      <c r="J54" s="33" t="s">
        <v>813</v>
      </c>
    </row>
    <row r="55">
      <c r="A55" s="45"/>
      <c r="B55" s="32">
        <v>45762.0</v>
      </c>
      <c r="C55" s="33" t="s">
        <v>934</v>
      </c>
      <c r="D55" s="34"/>
      <c r="E55" s="33" t="s">
        <v>487</v>
      </c>
      <c r="F55" s="35" t="s">
        <v>935</v>
      </c>
      <c r="G55" s="35" t="s">
        <v>22</v>
      </c>
      <c r="H55" s="33" t="s">
        <v>148</v>
      </c>
      <c r="I55" s="33" t="s">
        <v>920</v>
      </c>
      <c r="J55" s="33" t="s">
        <v>813</v>
      </c>
    </row>
    <row r="56">
      <c r="A56" s="45"/>
      <c r="B56" s="32">
        <v>45762.0</v>
      </c>
      <c r="C56" s="33" t="s">
        <v>934</v>
      </c>
      <c r="D56" s="34"/>
      <c r="E56" s="33" t="s">
        <v>936</v>
      </c>
      <c r="F56" s="35" t="s">
        <v>937</v>
      </c>
      <c r="G56" s="35" t="s">
        <v>22</v>
      </c>
      <c r="H56" s="33" t="s">
        <v>148</v>
      </c>
      <c r="I56" s="33" t="s">
        <v>920</v>
      </c>
      <c r="J56" s="33" t="s">
        <v>813</v>
      </c>
    </row>
    <row r="57">
      <c r="A57" s="45"/>
      <c r="B57" s="32">
        <v>45762.0</v>
      </c>
      <c r="C57" s="33" t="s">
        <v>934</v>
      </c>
      <c r="D57" s="34"/>
      <c r="E57" s="33" t="s">
        <v>938</v>
      </c>
      <c r="F57" s="35" t="s">
        <v>939</v>
      </c>
      <c r="G57" s="35" t="s">
        <v>22</v>
      </c>
      <c r="H57" s="33" t="s">
        <v>148</v>
      </c>
      <c r="I57" s="33" t="s">
        <v>920</v>
      </c>
      <c r="J57" s="33" t="s">
        <v>813</v>
      </c>
    </row>
    <row r="58">
      <c r="A58" s="45"/>
      <c r="B58" s="32">
        <v>45762.0</v>
      </c>
      <c r="C58" s="33" t="s">
        <v>920</v>
      </c>
      <c r="D58" s="34"/>
      <c r="E58" s="33" t="s">
        <v>940</v>
      </c>
      <c r="F58" s="35" t="s">
        <v>941</v>
      </c>
      <c r="G58" s="35" t="s">
        <v>22</v>
      </c>
      <c r="H58" s="33" t="s">
        <v>942</v>
      </c>
      <c r="I58" s="33" t="s">
        <v>920</v>
      </c>
      <c r="J58" s="33" t="s">
        <v>943</v>
      </c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</row>
    <row r="59">
      <c r="A59" s="45"/>
      <c r="B59" s="32">
        <v>45764.0</v>
      </c>
      <c r="C59" s="33" t="s">
        <v>321</v>
      </c>
      <c r="D59" s="34"/>
      <c r="E59" s="33" t="s">
        <v>944</v>
      </c>
      <c r="F59" s="35" t="s">
        <v>945</v>
      </c>
      <c r="G59" s="35" t="s">
        <v>22</v>
      </c>
      <c r="H59" s="33" t="s">
        <v>946</v>
      </c>
      <c r="I59" s="33" t="s">
        <v>206</v>
      </c>
      <c r="J59" s="33" t="s">
        <v>813</v>
      </c>
    </row>
    <row r="60">
      <c r="A60" s="45"/>
      <c r="B60" s="32">
        <v>45764.0</v>
      </c>
      <c r="C60" s="33" t="s">
        <v>149</v>
      </c>
      <c r="D60" s="34"/>
      <c r="E60" s="33" t="s">
        <v>947</v>
      </c>
      <c r="F60" s="34"/>
      <c r="G60" s="35" t="s">
        <v>22</v>
      </c>
      <c r="H60" s="33" t="s">
        <v>148</v>
      </c>
      <c r="I60" s="33" t="s">
        <v>206</v>
      </c>
      <c r="J60" s="33" t="s">
        <v>813</v>
      </c>
    </row>
    <row r="61">
      <c r="A61" s="45"/>
      <c r="B61" s="32">
        <v>45764.0</v>
      </c>
      <c r="C61" s="33" t="s">
        <v>65</v>
      </c>
      <c r="D61" s="34"/>
      <c r="E61" s="33" t="s">
        <v>948</v>
      </c>
      <c r="F61" s="34"/>
      <c r="G61" s="35" t="s">
        <v>22</v>
      </c>
      <c r="H61" s="45"/>
      <c r="I61" s="33" t="s">
        <v>206</v>
      </c>
      <c r="J61" s="33" t="s">
        <v>813</v>
      </c>
    </row>
    <row r="62">
      <c r="A62" s="45"/>
      <c r="B62" s="32">
        <v>45768.0</v>
      </c>
      <c r="C62" s="33" t="s">
        <v>949</v>
      </c>
      <c r="D62" s="34"/>
      <c r="E62" s="33" t="s">
        <v>315</v>
      </c>
      <c r="F62" s="34"/>
      <c r="G62" s="35" t="s">
        <v>22</v>
      </c>
      <c r="H62" s="33" t="s">
        <v>950</v>
      </c>
      <c r="I62" s="33" t="s">
        <v>138</v>
      </c>
      <c r="J62" s="33" t="s">
        <v>813</v>
      </c>
    </row>
    <row r="63">
      <c r="A63" s="45"/>
      <c r="B63" s="32">
        <v>45768.0</v>
      </c>
      <c r="C63" s="33" t="s">
        <v>321</v>
      </c>
      <c r="D63" s="34"/>
      <c r="E63" s="33" t="s">
        <v>951</v>
      </c>
      <c r="F63" s="35" t="s">
        <v>952</v>
      </c>
      <c r="G63" s="35" t="s">
        <v>953</v>
      </c>
      <c r="H63" s="33" t="s">
        <v>148</v>
      </c>
      <c r="I63" s="33" t="s">
        <v>95</v>
      </c>
      <c r="J63" s="33" t="s">
        <v>813</v>
      </c>
    </row>
    <row r="64">
      <c r="A64" s="45"/>
      <c r="B64" s="32">
        <v>45769.0</v>
      </c>
      <c r="C64" s="33" t="s">
        <v>954</v>
      </c>
      <c r="D64" s="34"/>
      <c r="E64" s="33" t="s">
        <v>955</v>
      </c>
      <c r="F64" s="35" t="s">
        <v>956</v>
      </c>
      <c r="G64" s="35" t="s">
        <v>22</v>
      </c>
      <c r="H64" s="33" t="s">
        <v>957</v>
      </c>
      <c r="I64" s="33" t="s">
        <v>920</v>
      </c>
      <c r="J64" s="45"/>
    </row>
    <row r="65">
      <c r="A65" s="45"/>
      <c r="B65" s="32">
        <v>45769.0</v>
      </c>
      <c r="C65" s="33" t="s">
        <v>954</v>
      </c>
      <c r="D65" s="34"/>
      <c r="E65" s="33" t="s">
        <v>958</v>
      </c>
      <c r="F65" s="33" t="s">
        <v>959</v>
      </c>
      <c r="G65" s="44" t="s">
        <v>22</v>
      </c>
      <c r="H65" s="33" t="s">
        <v>960</v>
      </c>
      <c r="I65" s="33" t="s">
        <v>920</v>
      </c>
      <c r="J65" s="33" t="s">
        <v>813</v>
      </c>
    </row>
    <row r="66">
      <c r="A66" s="45"/>
      <c r="B66" s="32">
        <v>45771.0</v>
      </c>
      <c r="C66" s="33" t="s">
        <v>321</v>
      </c>
      <c r="D66" s="34"/>
      <c r="E66" s="33" t="s">
        <v>335</v>
      </c>
      <c r="F66" s="35" t="s">
        <v>961</v>
      </c>
      <c r="G66" s="44" t="s">
        <v>22</v>
      </c>
      <c r="H66" s="33" t="s">
        <v>962</v>
      </c>
      <c r="I66" s="33" t="s">
        <v>206</v>
      </c>
      <c r="J66" s="33" t="s">
        <v>813</v>
      </c>
    </row>
    <row r="67">
      <c r="A67" s="45"/>
      <c r="B67" s="32">
        <v>45771.0</v>
      </c>
      <c r="C67" s="33" t="s">
        <v>65</v>
      </c>
      <c r="D67" s="34"/>
      <c r="E67" s="33" t="s">
        <v>963</v>
      </c>
      <c r="F67" s="35" t="s">
        <v>964</v>
      </c>
      <c r="G67" s="44" t="s">
        <v>22</v>
      </c>
      <c r="H67" s="45"/>
      <c r="I67" s="33" t="s">
        <v>206</v>
      </c>
      <c r="J67" s="33" t="s">
        <v>813</v>
      </c>
    </row>
    <row r="68">
      <c r="A68" s="45"/>
      <c r="B68" s="32">
        <v>45771.0</v>
      </c>
      <c r="C68" s="33" t="s">
        <v>920</v>
      </c>
      <c r="D68" s="34"/>
      <c r="E68" s="33" t="s">
        <v>965</v>
      </c>
      <c r="F68" s="34"/>
      <c r="G68" s="44" t="s">
        <v>62</v>
      </c>
      <c r="H68" s="33" t="s">
        <v>966</v>
      </c>
      <c r="I68" s="33" t="s">
        <v>206</v>
      </c>
      <c r="J68" s="33" t="s">
        <v>813</v>
      </c>
    </row>
    <row r="69">
      <c r="A69" s="61"/>
      <c r="B69" s="100">
        <v>45772.0</v>
      </c>
      <c r="C69" s="216" t="s">
        <v>711</v>
      </c>
      <c r="D69" s="58"/>
      <c r="E69" s="216" t="s">
        <v>967</v>
      </c>
      <c r="F69" s="60" t="s">
        <v>968</v>
      </c>
      <c r="G69" s="217" t="s">
        <v>22</v>
      </c>
      <c r="H69" s="216" t="s">
        <v>969</v>
      </c>
      <c r="I69" s="60" t="s">
        <v>25</v>
      </c>
      <c r="J69" s="60" t="s">
        <v>407</v>
      </c>
    </row>
    <row r="70">
      <c r="A70" s="34"/>
      <c r="B70" s="32">
        <v>45775.0</v>
      </c>
      <c r="C70" s="218" t="s">
        <v>25</v>
      </c>
      <c r="D70" s="45"/>
      <c r="E70" s="218" t="s">
        <v>970</v>
      </c>
      <c r="F70" s="33" t="s">
        <v>971</v>
      </c>
      <c r="G70" s="44" t="s">
        <v>22</v>
      </c>
      <c r="H70" s="218" t="s">
        <v>972</v>
      </c>
      <c r="I70" s="33" t="s">
        <v>95</v>
      </c>
      <c r="J70" s="33" t="s">
        <v>813</v>
      </c>
    </row>
    <row r="71">
      <c r="A71" s="34"/>
      <c r="B71" s="32">
        <v>45776.0</v>
      </c>
      <c r="C71" s="218" t="s">
        <v>243</v>
      </c>
      <c r="D71" s="45"/>
      <c r="E71" s="218" t="s">
        <v>973</v>
      </c>
      <c r="F71" s="33" t="s">
        <v>974</v>
      </c>
      <c r="G71" s="44" t="s">
        <v>22</v>
      </c>
      <c r="H71" s="218" t="s">
        <v>975</v>
      </c>
      <c r="I71" s="33" t="s">
        <v>920</v>
      </c>
      <c r="J71" s="45"/>
    </row>
    <row r="72">
      <c r="A72" s="34"/>
      <c r="B72" s="32">
        <v>45776.0</v>
      </c>
      <c r="C72" s="218" t="s">
        <v>243</v>
      </c>
      <c r="D72" s="45"/>
      <c r="E72" s="218" t="s">
        <v>976</v>
      </c>
      <c r="F72" s="33" t="s">
        <v>977</v>
      </c>
      <c r="G72" s="44" t="s">
        <v>22</v>
      </c>
      <c r="H72" s="218" t="s">
        <v>978</v>
      </c>
      <c r="I72" s="33" t="s">
        <v>920</v>
      </c>
      <c r="J72" s="33" t="s">
        <v>813</v>
      </c>
    </row>
    <row r="73">
      <c r="A73" s="34"/>
      <c r="B73" s="32">
        <v>45776.0</v>
      </c>
      <c r="C73" s="218" t="s">
        <v>814</v>
      </c>
      <c r="D73" s="45"/>
      <c r="E73" s="218" t="s">
        <v>979</v>
      </c>
      <c r="F73" s="33" t="s">
        <v>980</v>
      </c>
      <c r="G73" s="44" t="s">
        <v>27</v>
      </c>
      <c r="H73" s="218" t="s">
        <v>817</v>
      </c>
      <c r="I73" s="33" t="s">
        <v>981</v>
      </c>
      <c r="J73" s="33" t="s">
        <v>813</v>
      </c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</row>
    <row r="74" ht="14.25" customHeight="1">
      <c r="A74" s="34"/>
      <c r="B74" s="32">
        <v>45776.0</v>
      </c>
      <c r="C74" s="218" t="s">
        <v>814</v>
      </c>
      <c r="D74" s="45"/>
      <c r="E74" s="218" t="s">
        <v>982</v>
      </c>
      <c r="F74" s="33" t="s">
        <v>983</v>
      </c>
      <c r="G74" s="44" t="s">
        <v>27</v>
      </c>
      <c r="H74" s="218" t="s">
        <v>984</v>
      </c>
      <c r="I74" s="33" t="s">
        <v>985</v>
      </c>
      <c r="J74" s="45"/>
    </row>
    <row r="75">
      <c r="A75" s="34"/>
      <c r="B75" s="32">
        <v>45776.0</v>
      </c>
      <c r="C75" s="218" t="s">
        <v>814</v>
      </c>
      <c r="D75" s="45"/>
      <c r="E75" s="218" t="s">
        <v>986</v>
      </c>
      <c r="F75" s="33" t="s">
        <v>987</v>
      </c>
      <c r="G75" s="44" t="s">
        <v>27</v>
      </c>
      <c r="H75" s="218" t="s">
        <v>984</v>
      </c>
      <c r="I75" s="33" t="s">
        <v>985</v>
      </c>
      <c r="J75" s="33" t="s">
        <v>988</v>
      </c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</row>
    <row r="76">
      <c r="A76" s="34"/>
      <c r="B76" s="32">
        <v>45776.0</v>
      </c>
      <c r="C76" s="218" t="s">
        <v>814</v>
      </c>
      <c r="D76" s="45"/>
      <c r="E76" s="218" t="s">
        <v>989</v>
      </c>
      <c r="F76" s="33" t="s">
        <v>990</v>
      </c>
      <c r="G76" s="44" t="s">
        <v>27</v>
      </c>
      <c r="H76" s="218" t="s">
        <v>984</v>
      </c>
      <c r="I76" s="33" t="s">
        <v>985</v>
      </c>
      <c r="J76" s="45"/>
    </row>
    <row r="77">
      <c r="A77" s="34"/>
      <c r="B77" s="32">
        <v>45776.0</v>
      </c>
      <c r="C77" s="218" t="s">
        <v>814</v>
      </c>
      <c r="D77" s="45"/>
      <c r="E77" s="218" t="s">
        <v>991</v>
      </c>
      <c r="F77" s="33" t="s">
        <v>992</v>
      </c>
      <c r="G77" s="44" t="s">
        <v>27</v>
      </c>
      <c r="H77" s="218" t="s">
        <v>984</v>
      </c>
      <c r="I77" s="33" t="s">
        <v>985</v>
      </c>
      <c r="J77" s="33" t="s">
        <v>813</v>
      </c>
    </row>
    <row r="78">
      <c r="A78" s="34"/>
      <c r="B78" s="32">
        <v>45776.0</v>
      </c>
      <c r="C78" s="218" t="s">
        <v>814</v>
      </c>
      <c r="D78" s="45"/>
      <c r="E78" s="218" t="s">
        <v>993</v>
      </c>
      <c r="F78" s="33" t="s">
        <v>994</v>
      </c>
      <c r="G78" s="44" t="s">
        <v>22</v>
      </c>
      <c r="H78" s="218" t="s">
        <v>984</v>
      </c>
      <c r="I78" s="33" t="s">
        <v>985</v>
      </c>
      <c r="J78" s="33" t="s">
        <v>813</v>
      </c>
    </row>
    <row r="79">
      <c r="A79" s="34"/>
      <c r="B79" s="32">
        <v>45776.0</v>
      </c>
      <c r="C79" s="218" t="s">
        <v>814</v>
      </c>
      <c r="D79" s="45"/>
      <c r="E79" s="218" t="s">
        <v>995</v>
      </c>
      <c r="F79" s="33" t="s">
        <v>996</v>
      </c>
      <c r="G79" s="44" t="s">
        <v>997</v>
      </c>
      <c r="H79" s="218" t="s">
        <v>984</v>
      </c>
      <c r="I79" s="33" t="s">
        <v>985</v>
      </c>
      <c r="J79" s="33" t="s">
        <v>813</v>
      </c>
    </row>
    <row r="80">
      <c r="A80" s="45"/>
      <c r="B80" s="32">
        <v>45776.0</v>
      </c>
      <c r="C80" s="218" t="s">
        <v>814</v>
      </c>
      <c r="D80" s="45"/>
      <c r="E80" s="218" t="s">
        <v>998</v>
      </c>
      <c r="F80" s="35" t="s">
        <v>999</v>
      </c>
      <c r="G80" s="33" t="s">
        <v>62</v>
      </c>
      <c r="H80" s="218" t="s">
        <v>984</v>
      </c>
      <c r="I80" s="33" t="s">
        <v>985</v>
      </c>
      <c r="J80" s="33" t="s">
        <v>813</v>
      </c>
    </row>
    <row r="81">
      <c r="A81" s="45"/>
      <c r="B81" s="32">
        <v>45776.0</v>
      </c>
      <c r="C81" s="218" t="s">
        <v>814</v>
      </c>
      <c r="D81" s="45"/>
      <c r="E81" s="218" t="s">
        <v>335</v>
      </c>
      <c r="F81" s="35" t="s">
        <v>1000</v>
      </c>
      <c r="G81" s="33" t="s">
        <v>27</v>
      </c>
      <c r="H81" s="218" t="s">
        <v>984</v>
      </c>
      <c r="I81" s="33" t="s">
        <v>985</v>
      </c>
      <c r="J81" s="33" t="s">
        <v>813</v>
      </c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</row>
    <row r="82">
      <c r="A82" s="45"/>
      <c r="B82" s="32">
        <v>45776.0</v>
      </c>
      <c r="C82" s="218" t="s">
        <v>814</v>
      </c>
      <c r="D82" s="45"/>
      <c r="E82" s="218" t="s">
        <v>113</v>
      </c>
      <c r="F82" s="35" t="s">
        <v>1001</v>
      </c>
      <c r="G82" s="33" t="s">
        <v>27</v>
      </c>
      <c r="H82" s="218" t="s">
        <v>984</v>
      </c>
      <c r="I82" s="33" t="s">
        <v>985</v>
      </c>
      <c r="J82" s="33" t="s">
        <v>813</v>
      </c>
    </row>
    <row r="83">
      <c r="A83" s="45"/>
      <c r="B83" s="32">
        <v>45776.0</v>
      </c>
      <c r="C83" s="218" t="s">
        <v>814</v>
      </c>
      <c r="D83" s="45"/>
      <c r="E83" s="218" t="s">
        <v>1002</v>
      </c>
      <c r="F83" s="35" t="s">
        <v>1003</v>
      </c>
      <c r="G83" s="33" t="s">
        <v>22</v>
      </c>
      <c r="H83" s="218" t="s">
        <v>984</v>
      </c>
      <c r="I83" s="33" t="s">
        <v>985</v>
      </c>
      <c r="J83" s="33" t="s">
        <v>813</v>
      </c>
    </row>
    <row r="84">
      <c r="A84" s="45"/>
      <c r="B84" s="32">
        <v>45776.0</v>
      </c>
      <c r="C84" s="218" t="s">
        <v>814</v>
      </c>
      <c r="D84" s="45"/>
      <c r="E84" s="218" t="s">
        <v>1004</v>
      </c>
      <c r="F84" s="35" t="s">
        <v>1005</v>
      </c>
      <c r="G84" s="33" t="s">
        <v>22</v>
      </c>
      <c r="H84" s="218" t="s">
        <v>984</v>
      </c>
      <c r="I84" s="33" t="s">
        <v>985</v>
      </c>
      <c r="J84" s="33" t="s">
        <v>813</v>
      </c>
    </row>
    <row r="85">
      <c r="A85" s="45"/>
      <c r="B85" s="32">
        <v>45776.0</v>
      </c>
      <c r="C85" s="218" t="s">
        <v>814</v>
      </c>
      <c r="D85" s="45"/>
      <c r="E85" s="218" t="s">
        <v>1006</v>
      </c>
      <c r="F85" s="35" t="s">
        <v>1007</v>
      </c>
      <c r="G85" s="33" t="s">
        <v>22</v>
      </c>
      <c r="H85" s="218" t="s">
        <v>984</v>
      </c>
      <c r="I85" s="33" t="s">
        <v>985</v>
      </c>
      <c r="J85" s="33" t="s">
        <v>813</v>
      </c>
    </row>
    <row r="86">
      <c r="A86" s="45"/>
      <c r="B86" s="32">
        <v>45776.0</v>
      </c>
      <c r="C86" s="218" t="s">
        <v>814</v>
      </c>
      <c r="D86" s="45"/>
      <c r="E86" s="218" t="s">
        <v>1008</v>
      </c>
      <c r="F86" s="35" t="s">
        <v>1009</v>
      </c>
      <c r="G86" s="33" t="s">
        <v>22</v>
      </c>
      <c r="H86" s="218" t="s">
        <v>984</v>
      </c>
      <c r="I86" s="33" t="s">
        <v>985</v>
      </c>
      <c r="J86" s="33" t="s">
        <v>813</v>
      </c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</row>
    <row r="87">
      <c r="A87" s="45"/>
      <c r="B87" s="32">
        <v>45776.0</v>
      </c>
      <c r="C87" s="218" t="s">
        <v>814</v>
      </c>
      <c r="D87" s="45"/>
      <c r="E87" s="218" t="s">
        <v>1010</v>
      </c>
      <c r="F87" s="35" t="s">
        <v>1011</v>
      </c>
      <c r="G87" s="33" t="s">
        <v>27</v>
      </c>
      <c r="H87" s="218" t="s">
        <v>984</v>
      </c>
      <c r="I87" s="33" t="s">
        <v>985</v>
      </c>
      <c r="J87" s="33" t="s">
        <v>1012</v>
      </c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</row>
    <row r="88">
      <c r="A88" s="45"/>
      <c r="B88" s="32">
        <v>45776.0</v>
      </c>
      <c r="C88" s="218" t="s">
        <v>814</v>
      </c>
      <c r="D88" s="45"/>
      <c r="E88" s="218" t="s">
        <v>1013</v>
      </c>
      <c r="F88" s="35" t="s">
        <v>1014</v>
      </c>
      <c r="G88" s="33" t="s">
        <v>22</v>
      </c>
      <c r="H88" s="218" t="s">
        <v>984</v>
      </c>
      <c r="I88" s="33" t="s">
        <v>985</v>
      </c>
      <c r="J88" s="33" t="s">
        <v>988</v>
      </c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</row>
    <row r="89">
      <c r="B89" s="32">
        <v>45776.0</v>
      </c>
      <c r="C89" s="218" t="s">
        <v>814</v>
      </c>
      <c r="D89" s="45"/>
      <c r="E89" s="218" t="s">
        <v>377</v>
      </c>
      <c r="F89" s="35" t="s">
        <v>1015</v>
      </c>
      <c r="G89" s="33" t="s">
        <v>27</v>
      </c>
      <c r="H89" s="218" t="s">
        <v>984</v>
      </c>
      <c r="I89" s="33" t="s">
        <v>985</v>
      </c>
      <c r="J89" s="33" t="s">
        <v>813</v>
      </c>
    </row>
    <row r="90">
      <c r="A90" s="45"/>
      <c r="B90" s="32">
        <v>45776.0</v>
      </c>
      <c r="C90" s="218" t="s">
        <v>814</v>
      </c>
      <c r="D90" s="45"/>
      <c r="E90" s="218" t="s">
        <v>1016</v>
      </c>
      <c r="F90" s="35" t="s">
        <v>1017</v>
      </c>
      <c r="G90" s="33" t="s">
        <v>27</v>
      </c>
      <c r="H90" s="218" t="s">
        <v>984</v>
      </c>
      <c r="I90" s="33" t="s">
        <v>985</v>
      </c>
      <c r="J90" s="33" t="s">
        <v>813</v>
      </c>
    </row>
    <row r="91">
      <c r="A91" s="45"/>
      <c r="B91" s="32">
        <v>45776.0</v>
      </c>
      <c r="C91" s="218" t="s">
        <v>814</v>
      </c>
      <c r="D91" s="45"/>
      <c r="E91" s="218" t="s">
        <v>1018</v>
      </c>
      <c r="F91" s="35" t="s">
        <v>1019</v>
      </c>
      <c r="G91" s="33" t="s">
        <v>27</v>
      </c>
      <c r="H91" s="218" t="s">
        <v>984</v>
      </c>
      <c r="I91" s="33" t="s">
        <v>985</v>
      </c>
      <c r="J91" s="33" t="s">
        <v>1012</v>
      </c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</row>
    <row r="92">
      <c r="A92" s="45"/>
      <c r="B92" s="32">
        <v>45776.0</v>
      </c>
      <c r="C92" s="218" t="s">
        <v>814</v>
      </c>
      <c r="D92" s="45"/>
      <c r="E92" s="218" t="s">
        <v>1020</v>
      </c>
      <c r="F92" s="35" t="s">
        <v>1021</v>
      </c>
      <c r="G92" s="33" t="s">
        <v>27</v>
      </c>
      <c r="H92" s="218" t="s">
        <v>984</v>
      </c>
      <c r="I92" s="33" t="s">
        <v>985</v>
      </c>
      <c r="J92" s="33" t="s">
        <v>813</v>
      </c>
    </row>
    <row r="93">
      <c r="A93" s="45"/>
      <c r="B93" s="32">
        <v>45776.0</v>
      </c>
      <c r="C93" s="218" t="s">
        <v>814</v>
      </c>
      <c r="D93" s="45"/>
      <c r="E93" s="218" t="s">
        <v>1022</v>
      </c>
      <c r="F93" s="35" t="s">
        <v>1023</v>
      </c>
      <c r="G93" s="33" t="s">
        <v>22</v>
      </c>
      <c r="H93" s="218" t="s">
        <v>984</v>
      </c>
      <c r="I93" s="33" t="s">
        <v>985</v>
      </c>
      <c r="J93" s="45"/>
    </row>
    <row r="94">
      <c r="A94" s="45"/>
      <c r="B94" s="32">
        <v>45776.0</v>
      </c>
      <c r="C94" s="218" t="s">
        <v>814</v>
      </c>
      <c r="D94" s="45"/>
      <c r="E94" s="218" t="s">
        <v>1024</v>
      </c>
      <c r="F94" s="35" t="s">
        <v>1025</v>
      </c>
      <c r="G94" s="33" t="s">
        <v>27</v>
      </c>
      <c r="H94" s="218" t="s">
        <v>984</v>
      </c>
      <c r="I94" s="33" t="s">
        <v>985</v>
      </c>
      <c r="J94" s="45"/>
    </row>
    <row r="95">
      <c r="A95" s="45"/>
      <c r="B95" s="32">
        <v>45776.0</v>
      </c>
      <c r="C95" s="218" t="s">
        <v>814</v>
      </c>
      <c r="D95" s="45"/>
      <c r="E95" s="218" t="s">
        <v>1026</v>
      </c>
      <c r="F95" s="35" t="s">
        <v>1027</v>
      </c>
      <c r="G95" s="33" t="s">
        <v>22</v>
      </c>
      <c r="H95" s="218" t="s">
        <v>984</v>
      </c>
      <c r="I95" s="33" t="s">
        <v>985</v>
      </c>
      <c r="J95" s="33" t="s">
        <v>1028</v>
      </c>
    </row>
    <row r="96">
      <c r="A96" s="45"/>
      <c r="B96" s="32">
        <v>45777.0</v>
      </c>
      <c r="C96" s="218" t="s">
        <v>20</v>
      </c>
      <c r="D96" s="45"/>
      <c r="E96" s="218" t="s">
        <v>1029</v>
      </c>
      <c r="F96" s="34"/>
      <c r="G96" s="33" t="s">
        <v>22</v>
      </c>
      <c r="H96" s="218" t="s">
        <v>1030</v>
      </c>
      <c r="I96" s="33" t="s">
        <v>243</v>
      </c>
      <c r="J96" s="33" t="s">
        <v>813</v>
      </c>
    </row>
    <row r="97">
      <c r="A97" s="45"/>
      <c r="B97" s="32">
        <v>45780.0</v>
      </c>
      <c r="C97" s="33" t="s">
        <v>814</v>
      </c>
      <c r="D97" s="45"/>
      <c r="E97" s="218" t="s">
        <v>1031</v>
      </c>
      <c r="F97" s="35" t="s">
        <v>1032</v>
      </c>
      <c r="G97" s="33" t="s">
        <v>22</v>
      </c>
      <c r="H97" s="218" t="s">
        <v>1033</v>
      </c>
      <c r="I97" s="33" t="s">
        <v>1034</v>
      </c>
      <c r="J97" s="45"/>
    </row>
    <row r="98">
      <c r="A98" s="45"/>
      <c r="B98" s="32">
        <v>45782.0</v>
      </c>
      <c r="C98" s="33" t="s">
        <v>78</v>
      </c>
      <c r="D98" s="33" t="s">
        <v>1035</v>
      </c>
      <c r="E98" s="218" t="s">
        <v>810</v>
      </c>
      <c r="F98" s="35" t="s">
        <v>811</v>
      </c>
      <c r="G98" s="33" t="s">
        <v>27</v>
      </c>
      <c r="H98" s="218" t="s">
        <v>1036</v>
      </c>
      <c r="I98" s="33" t="s">
        <v>95</v>
      </c>
      <c r="J98" s="33" t="s">
        <v>813</v>
      </c>
    </row>
    <row r="99">
      <c r="A99" s="45"/>
      <c r="B99" s="32">
        <v>45783.0</v>
      </c>
      <c r="C99" s="33" t="s">
        <v>857</v>
      </c>
      <c r="D99" s="45"/>
      <c r="E99" s="218" t="s">
        <v>1037</v>
      </c>
      <c r="F99" s="34"/>
      <c r="G99" s="33" t="s">
        <v>22</v>
      </c>
      <c r="H99" s="218" t="s">
        <v>576</v>
      </c>
      <c r="I99" s="33" t="s">
        <v>25</v>
      </c>
      <c r="J99" s="33" t="s">
        <v>407</v>
      </c>
    </row>
    <row r="100">
      <c r="A100" s="45"/>
      <c r="B100" s="32">
        <v>45783.0</v>
      </c>
      <c r="C100" s="33" t="s">
        <v>857</v>
      </c>
      <c r="D100" s="45"/>
      <c r="E100" s="218" t="s">
        <v>1038</v>
      </c>
      <c r="F100" s="34"/>
      <c r="G100" s="33" t="s">
        <v>22</v>
      </c>
      <c r="H100" s="218" t="s">
        <v>576</v>
      </c>
      <c r="I100" s="33" t="s">
        <v>25</v>
      </c>
      <c r="J100" s="33" t="s">
        <v>813</v>
      </c>
    </row>
    <row r="101">
      <c r="A101" s="45"/>
      <c r="B101" s="32">
        <v>45783.0</v>
      </c>
      <c r="C101" s="33" t="s">
        <v>321</v>
      </c>
      <c r="D101" s="34"/>
      <c r="E101" s="218" t="s">
        <v>1039</v>
      </c>
      <c r="F101" s="35" t="s">
        <v>1040</v>
      </c>
      <c r="G101" s="35" t="s">
        <v>22</v>
      </c>
      <c r="H101" s="33" t="s">
        <v>133</v>
      </c>
      <c r="I101" s="33" t="s">
        <v>25</v>
      </c>
      <c r="J101" s="45"/>
    </row>
    <row r="102">
      <c r="A102" s="45"/>
      <c r="B102" s="42">
        <v>45785.0</v>
      </c>
      <c r="C102" s="33" t="s">
        <v>321</v>
      </c>
      <c r="D102" s="34"/>
      <c r="E102" s="33" t="s">
        <v>1041</v>
      </c>
      <c r="F102" s="35" t="s">
        <v>1042</v>
      </c>
      <c r="G102" s="35" t="s">
        <v>22</v>
      </c>
      <c r="H102" s="33" t="s">
        <v>1043</v>
      </c>
      <c r="I102" s="33" t="s">
        <v>206</v>
      </c>
      <c r="J102" s="33" t="s">
        <v>813</v>
      </c>
    </row>
    <row r="103">
      <c r="A103" s="45"/>
      <c r="B103" s="42">
        <v>45785.0</v>
      </c>
      <c r="C103" s="33" t="s">
        <v>20</v>
      </c>
      <c r="D103" s="34"/>
      <c r="E103" s="33" t="s">
        <v>195</v>
      </c>
      <c r="F103" s="34"/>
      <c r="G103" s="35" t="s">
        <v>22</v>
      </c>
      <c r="H103" s="33" t="s">
        <v>1044</v>
      </c>
      <c r="I103" s="33" t="s">
        <v>418</v>
      </c>
      <c r="J103" s="33" t="s">
        <v>813</v>
      </c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</row>
    <row r="104">
      <c r="A104" s="45"/>
      <c r="B104" s="42">
        <v>45785.0</v>
      </c>
      <c r="C104" s="33" t="s">
        <v>1045</v>
      </c>
      <c r="D104" s="34"/>
      <c r="E104" s="33" t="s">
        <v>1046</v>
      </c>
      <c r="F104" s="34"/>
      <c r="G104" s="35" t="s">
        <v>22</v>
      </c>
      <c r="H104" s="33" t="s">
        <v>1047</v>
      </c>
      <c r="I104" s="33" t="s">
        <v>418</v>
      </c>
      <c r="J104" s="45"/>
    </row>
    <row r="105">
      <c r="A105" s="45"/>
      <c r="B105" s="42">
        <v>45785.0</v>
      </c>
      <c r="C105" s="33" t="s">
        <v>321</v>
      </c>
      <c r="D105" s="34"/>
      <c r="E105" s="33" t="s">
        <v>1048</v>
      </c>
      <c r="F105" s="34"/>
      <c r="G105" s="35" t="s">
        <v>22</v>
      </c>
      <c r="H105" s="33" t="s">
        <v>144</v>
      </c>
      <c r="I105" s="33" t="s">
        <v>206</v>
      </c>
      <c r="J105" s="45"/>
    </row>
    <row r="106">
      <c r="A106" s="45"/>
      <c r="B106" s="42">
        <v>45786.0</v>
      </c>
      <c r="C106" s="33" t="s">
        <v>309</v>
      </c>
      <c r="D106" s="34"/>
      <c r="E106" s="33" t="s">
        <v>1049</v>
      </c>
      <c r="F106" s="34"/>
      <c r="G106" s="35" t="s">
        <v>22</v>
      </c>
      <c r="H106" s="33" t="s">
        <v>1050</v>
      </c>
      <c r="I106" s="33" t="s">
        <v>24</v>
      </c>
      <c r="J106" s="33" t="s">
        <v>813</v>
      </c>
    </row>
    <row r="107">
      <c r="A107" s="45"/>
      <c r="B107" s="32">
        <v>45789.0</v>
      </c>
      <c r="C107" s="33" t="s">
        <v>206</v>
      </c>
      <c r="D107" s="34"/>
      <c r="E107" s="33" t="s">
        <v>1051</v>
      </c>
      <c r="F107" s="35" t="s">
        <v>1052</v>
      </c>
      <c r="G107" s="35" t="s">
        <v>1053</v>
      </c>
      <c r="H107" s="33" t="s">
        <v>148</v>
      </c>
      <c r="I107" s="33" t="s">
        <v>95</v>
      </c>
      <c r="J107" s="33" t="s">
        <v>813</v>
      </c>
    </row>
    <row r="108">
      <c r="A108" s="45"/>
      <c r="B108" s="32">
        <v>45789.0</v>
      </c>
      <c r="C108" s="33" t="s">
        <v>206</v>
      </c>
      <c r="D108" s="34"/>
      <c r="E108" s="33" t="s">
        <v>1054</v>
      </c>
      <c r="F108" s="35" t="s">
        <v>1055</v>
      </c>
      <c r="G108" s="35" t="s">
        <v>22</v>
      </c>
      <c r="H108" s="33" t="s">
        <v>148</v>
      </c>
      <c r="I108" s="33" t="s">
        <v>95</v>
      </c>
      <c r="J108" s="33" t="s">
        <v>813</v>
      </c>
    </row>
    <row r="109">
      <c r="A109" s="45"/>
      <c r="B109" s="32">
        <v>45789.0</v>
      </c>
      <c r="C109" s="33" t="s">
        <v>400</v>
      </c>
      <c r="D109" s="34"/>
      <c r="E109" s="33" t="s">
        <v>1056</v>
      </c>
      <c r="F109" s="35" t="s">
        <v>1057</v>
      </c>
      <c r="G109" s="35" t="s">
        <v>22</v>
      </c>
      <c r="H109" s="33" t="s">
        <v>148</v>
      </c>
      <c r="I109" s="33" t="s">
        <v>95</v>
      </c>
      <c r="J109" s="45"/>
    </row>
    <row r="110">
      <c r="A110" s="45"/>
      <c r="B110" s="32">
        <v>45789.0</v>
      </c>
      <c r="C110" s="33" t="s">
        <v>1058</v>
      </c>
      <c r="D110" s="34"/>
      <c r="E110" s="33" t="s">
        <v>1059</v>
      </c>
      <c r="F110" s="34"/>
      <c r="G110" s="35" t="s">
        <v>1060</v>
      </c>
      <c r="H110" s="33" t="s">
        <v>148</v>
      </c>
      <c r="I110" s="33" t="s">
        <v>95</v>
      </c>
      <c r="J110" s="45"/>
    </row>
    <row r="111">
      <c r="A111" s="45"/>
      <c r="B111" s="32">
        <v>45790.0</v>
      </c>
      <c r="C111" s="33" t="s">
        <v>1061</v>
      </c>
      <c r="D111" s="45"/>
      <c r="E111" s="218" t="s">
        <v>1062</v>
      </c>
      <c r="F111" s="34"/>
      <c r="G111" s="33" t="s">
        <v>22</v>
      </c>
      <c r="H111" s="218" t="s">
        <v>1063</v>
      </c>
      <c r="I111" s="33" t="s">
        <v>400</v>
      </c>
      <c r="J111" s="33" t="s">
        <v>813</v>
      </c>
    </row>
    <row r="112">
      <c r="A112" s="45"/>
      <c r="B112" s="32">
        <v>45794.0</v>
      </c>
      <c r="C112" s="33" t="s">
        <v>321</v>
      </c>
      <c r="D112" s="45"/>
      <c r="E112" s="218" t="s">
        <v>1064</v>
      </c>
      <c r="F112" s="35" t="s">
        <v>1065</v>
      </c>
      <c r="G112" s="33" t="s">
        <v>22</v>
      </c>
      <c r="H112" s="219"/>
      <c r="I112" s="33" t="s">
        <v>206</v>
      </c>
      <c r="J112" s="33" t="s">
        <v>1066</v>
      </c>
    </row>
    <row r="113">
      <c r="A113" s="45"/>
      <c r="B113" s="32">
        <v>45797.0</v>
      </c>
      <c r="C113" s="33" t="s">
        <v>321</v>
      </c>
      <c r="D113" s="45"/>
      <c r="E113" s="218" t="s">
        <v>863</v>
      </c>
      <c r="F113" s="35" t="s">
        <v>864</v>
      </c>
      <c r="G113" s="33" t="s">
        <v>22</v>
      </c>
      <c r="H113" s="218" t="s">
        <v>1067</v>
      </c>
      <c r="I113" s="33" t="s">
        <v>400</v>
      </c>
      <c r="J113" s="33" t="s">
        <v>1066</v>
      </c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</row>
    <row r="114">
      <c r="A114" s="45"/>
      <c r="B114" s="32">
        <v>45797.0</v>
      </c>
      <c r="C114" s="33" t="s">
        <v>321</v>
      </c>
      <c r="D114" s="45"/>
      <c r="E114" s="218" t="s">
        <v>1068</v>
      </c>
      <c r="F114" s="35" t="s">
        <v>1069</v>
      </c>
      <c r="G114" s="33" t="s">
        <v>22</v>
      </c>
      <c r="H114" s="218" t="s">
        <v>323</v>
      </c>
      <c r="I114" s="33" t="s">
        <v>400</v>
      </c>
      <c r="J114" s="33" t="s">
        <v>1066</v>
      </c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</row>
    <row r="115">
      <c r="A115" s="45"/>
      <c r="B115" s="32">
        <v>45797.0</v>
      </c>
      <c r="C115" s="33" t="s">
        <v>321</v>
      </c>
      <c r="D115" s="45"/>
      <c r="E115" s="218" t="s">
        <v>1070</v>
      </c>
      <c r="F115" s="35" t="s">
        <v>1071</v>
      </c>
      <c r="G115" s="33" t="s">
        <v>22</v>
      </c>
      <c r="H115" s="218" t="s">
        <v>323</v>
      </c>
      <c r="I115" s="33" t="s">
        <v>400</v>
      </c>
      <c r="J115" s="45"/>
    </row>
    <row r="116">
      <c r="A116" s="45"/>
      <c r="B116" s="32">
        <v>45799.0</v>
      </c>
      <c r="C116" s="33" t="s">
        <v>321</v>
      </c>
      <c r="D116" s="45"/>
      <c r="E116" s="218" t="s">
        <v>1072</v>
      </c>
      <c r="F116" s="35" t="s">
        <v>1073</v>
      </c>
      <c r="G116" s="33" t="s">
        <v>22</v>
      </c>
      <c r="H116" s="218" t="s">
        <v>695</v>
      </c>
      <c r="I116" s="33" t="s">
        <v>36</v>
      </c>
      <c r="J116" s="33" t="s">
        <v>1066</v>
      </c>
    </row>
    <row r="117">
      <c r="A117" s="45"/>
      <c r="B117" s="32">
        <v>45799.0</v>
      </c>
      <c r="C117" s="33" t="s">
        <v>8</v>
      </c>
      <c r="D117" s="45"/>
      <c r="E117" s="218" t="s">
        <v>1074</v>
      </c>
      <c r="F117" s="35" t="s">
        <v>1075</v>
      </c>
      <c r="G117" s="33" t="s">
        <v>85</v>
      </c>
      <c r="H117" s="218" t="s">
        <v>1076</v>
      </c>
      <c r="I117" s="33" t="s">
        <v>418</v>
      </c>
      <c r="J117" s="33" t="s">
        <v>1077</v>
      </c>
    </row>
    <row r="118">
      <c r="A118" s="45"/>
      <c r="B118" s="32">
        <v>45799.0</v>
      </c>
      <c r="C118" s="33" t="s">
        <v>321</v>
      </c>
      <c r="D118" s="45"/>
      <c r="E118" s="218" t="s">
        <v>1078</v>
      </c>
      <c r="F118" s="35" t="s">
        <v>1079</v>
      </c>
      <c r="G118" s="33" t="s">
        <v>22</v>
      </c>
      <c r="H118" s="218" t="s">
        <v>1043</v>
      </c>
      <c r="I118" s="33" t="s">
        <v>36</v>
      </c>
      <c r="J118" s="33" t="s">
        <v>1080</v>
      </c>
    </row>
    <row r="119">
      <c r="A119" s="45"/>
      <c r="B119" s="32">
        <v>45799.0</v>
      </c>
      <c r="C119" s="33" t="s">
        <v>321</v>
      </c>
      <c r="D119" s="45"/>
      <c r="E119" s="218" t="s">
        <v>1081</v>
      </c>
      <c r="F119" s="35" t="s">
        <v>1082</v>
      </c>
      <c r="G119" s="33" t="s">
        <v>22</v>
      </c>
      <c r="H119" s="218" t="s">
        <v>148</v>
      </c>
      <c r="I119" s="33" t="s">
        <v>36</v>
      </c>
      <c r="J119" s="45"/>
    </row>
    <row r="120">
      <c r="A120" s="45"/>
      <c r="B120" s="32">
        <v>45801.0</v>
      </c>
      <c r="C120" s="33" t="s">
        <v>814</v>
      </c>
      <c r="D120" s="45"/>
      <c r="E120" s="218" t="s">
        <v>1083</v>
      </c>
      <c r="F120" s="35" t="s">
        <v>1084</v>
      </c>
      <c r="G120" s="33" t="s">
        <v>22</v>
      </c>
      <c r="H120" s="218" t="s">
        <v>148</v>
      </c>
      <c r="I120" s="33" t="s">
        <v>206</v>
      </c>
      <c r="J120" s="33" t="s">
        <v>813</v>
      </c>
    </row>
    <row r="121">
      <c r="A121" s="45"/>
      <c r="B121" s="32">
        <v>45801.0</v>
      </c>
      <c r="C121" s="33" t="s">
        <v>814</v>
      </c>
      <c r="D121" s="45"/>
      <c r="E121" s="218" t="s">
        <v>1085</v>
      </c>
      <c r="F121" s="35" t="s">
        <v>819</v>
      </c>
      <c r="G121" s="33" t="s">
        <v>22</v>
      </c>
      <c r="H121" s="219"/>
      <c r="I121" s="33" t="s">
        <v>206</v>
      </c>
      <c r="J121" s="33" t="s">
        <v>813</v>
      </c>
    </row>
    <row r="122">
      <c r="A122" s="45"/>
      <c r="B122" s="32">
        <v>45801.0</v>
      </c>
      <c r="C122" s="33" t="s">
        <v>814</v>
      </c>
      <c r="D122" s="45"/>
      <c r="E122" s="218" t="s">
        <v>1086</v>
      </c>
      <c r="F122" s="35" t="s">
        <v>1087</v>
      </c>
      <c r="G122" s="33" t="s">
        <v>22</v>
      </c>
      <c r="H122" s="219"/>
      <c r="I122" s="33" t="s">
        <v>206</v>
      </c>
      <c r="J122" s="33" t="s">
        <v>813</v>
      </c>
    </row>
    <row r="123">
      <c r="A123" s="45"/>
      <c r="B123" s="32">
        <v>45801.0</v>
      </c>
      <c r="C123" s="33" t="s">
        <v>814</v>
      </c>
      <c r="D123" s="45"/>
      <c r="E123" s="218" t="s">
        <v>1088</v>
      </c>
      <c r="F123" s="35" t="s">
        <v>1089</v>
      </c>
      <c r="G123" s="33" t="s">
        <v>22</v>
      </c>
      <c r="H123" s="219"/>
      <c r="I123" s="33" t="s">
        <v>206</v>
      </c>
      <c r="J123" s="33" t="s">
        <v>1090</v>
      </c>
    </row>
    <row r="124">
      <c r="A124" s="45"/>
      <c r="B124" s="32">
        <v>45801.0</v>
      </c>
      <c r="C124" s="33" t="s">
        <v>814</v>
      </c>
      <c r="D124" s="45"/>
      <c r="E124" s="218" t="s">
        <v>1091</v>
      </c>
      <c r="F124" s="34"/>
      <c r="G124" s="33" t="s">
        <v>22</v>
      </c>
      <c r="H124" s="219"/>
      <c r="I124" s="33" t="s">
        <v>1092</v>
      </c>
      <c r="J124" s="33" t="s">
        <v>1093</v>
      </c>
    </row>
    <row r="125">
      <c r="A125" s="45"/>
      <c r="B125" s="32">
        <v>45801.0</v>
      </c>
      <c r="C125" s="33" t="s">
        <v>814</v>
      </c>
      <c r="D125" s="45"/>
      <c r="E125" s="218" t="s">
        <v>1094</v>
      </c>
      <c r="F125" s="35" t="s">
        <v>1095</v>
      </c>
      <c r="G125" s="33" t="s">
        <v>22</v>
      </c>
      <c r="H125" s="218" t="s">
        <v>0</v>
      </c>
      <c r="I125" s="33" t="s">
        <v>206</v>
      </c>
      <c r="J125" s="33" t="s">
        <v>1096</v>
      </c>
    </row>
    <row r="126">
      <c r="A126" s="45"/>
      <c r="B126" s="32">
        <v>45801.0</v>
      </c>
      <c r="C126" s="218" t="s">
        <v>814</v>
      </c>
      <c r="D126" s="34"/>
      <c r="E126" s="218" t="s">
        <v>1097</v>
      </c>
      <c r="F126" s="35" t="s">
        <v>1003</v>
      </c>
      <c r="G126" s="44" t="s">
        <v>22</v>
      </c>
      <c r="H126" s="219"/>
      <c r="I126" s="33" t="s">
        <v>206</v>
      </c>
      <c r="J126" s="45"/>
    </row>
    <row r="127">
      <c r="A127" s="45"/>
      <c r="B127" s="32">
        <v>45801.0</v>
      </c>
      <c r="C127" s="33" t="s">
        <v>814</v>
      </c>
      <c r="D127" s="45"/>
      <c r="E127" s="218" t="s">
        <v>1098</v>
      </c>
      <c r="F127" s="35" t="s">
        <v>1099</v>
      </c>
      <c r="G127" s="33" t="s">
        <v>22</v>
      </c>
      <c r="H127" s="219"/>
      <c r="I127" s="33" t="s">
        <v>206</v>
      </c>
      <c r="J127" s="45"/>
    </row>
    <row r="128">
      <c r="A128" s="45"/>
      <c r="B128" s="32">
        <v>45803.0</v>
      </c>
      <c r="C128" s="33" t="s">
        <v>827</v>
      </c>
      <c r="D128" s="33" t="s">
        <v>1100</v>
      </c>
      <c r="E128" s="218" t="s">
        <v>1101</v>
      </c>
      <c r="F128" s="34"/>
      <c r="G128" s="33" t="s">
        <v>22</v>
      </c>
      <c r="H128" s="218" t="s">
        <v>608</v>
      </c>
      <c r="I128" s="33" t="s">
        <v>95</v>
      </c>
      <c r="J128" s="33" t="s">
        <v>1090</v>
      </c>
    </row>
    <row r="129">
      <c r="A129" s="45"/>
      <c r="B129" s="220">
        <v>45804.0</v>
      </c>
      <c r="C129" s="218" t="s">
        <v>206</v>
      </c>
      <c r="D129" s="34"/>
      <c r="E129" s="33" t="s">
        <v>1102</v>
      </c>
      <c r="F129" s="33" t="s">
        <v>1103</v>
      </c>
      <c r="G129" s="44" t="s">
        <v>22</v>
      </c>
      <c r="H129" s="33" t="s">
        <v>1104</v>
      </c>
      <c r="I129" s="33" t="s">
        <v>400</v>
      </c>
      <c r="J129" s="33" t="s">
        <v>813</v>
      </c>
    </row>
    <row r="130">
      <c r="A130" s="45"/>
      <c r="B130" s="220">
        <v>45804.0</v>
      </c>
      <c r="C130" s="218" t="s">
        <v>206</v>
      </c>
      <c r="D130" s="34"/>
      <c r="E130" s="33" t="s">
        <v>1010</v>
      </c>
      <c r="F130" s="33" t="s">
        <v>1105</v>
      </c>
      <c r="G130" s="44" t="s">
        <v>22</v>
      </c>
      <c r="H130" s="33" t="s">
        <v>323</v>
      </c>
      <c r="I130" s="33" t="s">
        <v>400</v>
      </c>
      <c r="J130" s="33" t="s">
        <v>813</v>
      </c>
    </row>
    <row r="131">
      <c r="A131" s="45"/>
      <c r="B131" s="220">
        <v>45804.0</v>
      </c>
      <c r="C131" s="218" t="s">
        <v>206</v>
      </c>
      <c r="D131" s="34"/>
      <c r="E131" s="33" t="s">
        <v>1106</v>
      </c>
      <c r="F131" s="33" t="s">
        <v>1107</v>
      </c>
      <c r="G131" s="44" t="s">
        <v>22</v>
      </c>
      <c r="H131" s="33" t="s">
        <v>323</v>
      </c>
      <c r="I131" s="33" t="s">
        <v>400</v>
      </c>
      <c r="J131" s="33" t="s">
        <v>1093</v>
      </c>
    </row>
    <row r="132">
      <c r="A132" s="45"/>
      <c r="B132" s="220">
        <v>45804.0</v>
      </c>
      <c r="C132" s="218" t="s">
        <v>206</v>
      </c>
      <c r="D132" s="34"/>
      <c r="E132" s="33" t="s">
        <v>1108</v>
      </c>
      <c r="F132" s="33" t="s">
        <v>1109</v>
      </c>
      <c r="G132" s="44" t="s">
        <v>22</v>
      </c>
      <c r="H132" s="33" t="s">
        <v>1110</v>
      </c>
      <c r="I132" s="33" t="s">
        <v>400</v>
      </c>
      <c r="J132" s="45"/>
    </row>
    <row r="133">
      <c r="A133" s="110"/>
      <c r="B133" s="176">
        <v>45804.0</v>
      </c>
      <c r="C133" s="221" t="s">
        <v>206</v>
      </c>
      <c r="D133" s="114"/>
      <c r="E133" s="112" t="s">
        <v>1111</v>
      </c>
      <c r="F133" s="113" t="s">
        <v>1112</v>
      </c>
      <c r="G133" s="222" t="s">
        <v>22</v>
      </c>
      <c r="H133" s="112" t="s">
        <v>1104</v>
      </c>
      <c r="I133" s="112" t="s">
        <v>400</v>
      </c>
      <c r="J133" s="112" t="s">
        <v>1066</v>
      </c>
    </row>
    <row r="134">
      <c r="A134" s="45"/>
      <c r="B134" s="32">
        <v>45804.0</v>
      </c>
      <c r="C134" s="218" t="s">
        <v>206</v>
      </c>
      <c r="D134" s="34"/>
      <c r="E134" s="33" t="s">
        <v>419</v>
      </c>
      <c r="F134" s="35" t="s">
        <v>1113</v>
      </c>
      <c r="G134" s="44" t="s">
        <v>22</v>
      </c>
      <c r="H134" s="33" t="s">
        <v>323</v>
      </c>
      <c r="I134" s="33" t="s">
        <v>400</v>
      </c>
      <c r="J134" s="45"/>
    </row>
    <row r="135">
      <c r="A135" s="45"/>
      <c r="B135" s="32">
        <v>45805.0</v>
      </c>
      <c r="C135" s="218" t="s">
        <v>1114</v>
      </c>
      <c r="D135" s="34"/>
      <c r="E135" s="33" t="s">
        <v>1115</v>
      </c>
      <c r="F135" s="34"/>
      <c r="G135" s="44" t="s">
        <v>22</v>
      </c>
      <c r="H135" s="33" t="s">
        <v>1116</v>
      </c>
      <c r="I135" s="33" t="s">
        <v>24</v>
      </c>
      <c r="J135" s="33" t="s">
        <v>813</v>
      </c>
    </row>
    <row r="136">
      <c r="A136" s="45"/>
      <c r="B136" s="32">
        <v>45807.0</v>
      </c>
      <c r="C136" s="218" t="s">
        <v>920</v>
      </c>
      <c r="D136" s="34"/>
      <c r="E136" s="33" t="s">
        <v>1117</v>
      </c>
      <c r="F136" s="35" t="s">
        <v>1118</v>
      </c>
      <c r="G136" s="35" t="s">
        <v>22</v>
      </c>
      <c r="H136" s="33" t="s">
        <v>1119</v>
      </c>
      <c r="I136" s="33" t="s">
        <v>400</v>
      </c>
      <c r="J136" s="33" t="s">
        <v>1090</v>
      </c>
    </row>
    <row r="137">
      <c r="A137" s="45"/>
      <c r="B137" s="32">
        <v>45807.0</v>
      </c>
      <c r="C137" s="33" t="s">
        <v>20</v>
      </c>
      <c r="D137" s="34"/>
      <c r="E137" s="33" t="s">
        <v>1120</v>
      </c>
      <c r="F137" s="34"/>
      <c r="G137" s="35" t="s">
        <v>22</v>
      </c>
      <c r="H137" s="33" t="s">
        <v>1121</v>
      </c>
      <c r="I137" s="33" t="s">
        <v>400</v>
      </c>
      <c r="J137" s="45"/>
    </row>
    <row r="138">
      <c r="A138" s="45"/>
      <c r="B138" s="42">
        <v>45810.0</v>
      </c>
      <c r="C138" s="33" t="s">
        <v>270</v>
      </c>
      <c r="D138" s="34"/>
      <c r="E138" s="33" t="s">
        <v>1122</v>
      </c>
      <c r="F138" s="35" t="s">
        <v>1123</v>
      </c>
      <c r="G138" s="35" t="s">
        <v>22</v>
      </c>
      <c r="H138" s="33" t="s">
        <v>1124</v>
      </c>
      <c r="I138" s="33" t="s">
        <v>95</v>
      </c>
      <c r="J138" s="33" t="s">
        <v>1125</v>
      </c>
    </row>
    <row r="139">
      <c r="A139" s="45"/>
      <c r="B139" s="42">
        <v>45810.0</v>
      </c>
      <c r="C139" s="33" t="s">
        <v>270</v>
      </c>
      <c r="D139" s="34"/>
      <c r="E139" s="33" t="s">
        <v>1126</v>
      </c>
      <c r="F139" s="35" t="s">
        <v>1127</v>
      </c>
      <c r="G139" s="35" t="s">
        <v>22</v>
      </c>
      <c r="H139" s="33" t="s">
        <v>1124</v>
      </c>
      <c r="I139" s="33" t="s">
        <v>95</v>
      </c>
      <c r="J139" s="33" t="s">
        <v>1066</v>
      </c>
    </row>
    <row r="140">
      <c r="A140" s="45"/>
      <c r="B140" s="42">
        <v>45810.0</v>
      </c>
      <c r="C140" s="33" t="s">
        <v>1128</v>
      </c>
      <c r="D140" s="34"/>
      <c r="E140" s="33" t="s">
        <v>1129</v>
      </c>
      <c r="F140" s="34"/>
      <c r="G140" s="35" t="s">
        <v>22</v>
      </c>
      <c r="H140" s="33" t="s">
        <v>1130</v>
      </c>
      <c r="I140" s="33" t="s">
        <v>400</v>
      </c>
      <c r="J140" s="33" t="s">
        <v>813</v>
      </c>
    </row>
    <row r="141">
      <c r="A141" s="45"/>
      <c r="B141" s="42">
        <v>45811.0</v>
      </c>
      <c r="C141" s="33" t="s">
        <v>1131</v>
      </c>
      <c r="D141" s="34"/>
      <c r="E141" s="33" t="s">
        <v>1132</v>
      </c>
      <c r="F141" s="35" t="s">
        <v>1133</v>
      </c>
      <c r="G141" s="35" t="s">
        <v>1134</v>
      </c>
      <c r="H141" s="33" t="s">
        <v>1135</v>
      </c>
      <c r="I141" s="33" t="s">
        <v>418</v>
      </c>
      <c r="J141" s="33" t="s">
        <v>1066</v>
      </c>
      <c r="K141" s="223"/>
      <c r="L141" s="223"/>
      <c r="M141" s="223"/>
      <c r="N141" s="223"/>
      <c r="O141" s="223"/>
      <c r="P141" s="223"/>
      <c r="Q141" s="223"/>
      <c r="R141" s="223"/>
      <c r="S141" s="223"/>
      <c r="T141" s="223"/>
      <c r="U141" s="223"/>
      <c r="V141" s="223"/>
      <c r="W141" s="223"/>
      <c r="X141" s="223"/>
      <c r="Y141" s="223"/>
      <c r="Z141" s="223"/>
      <c r="AA141" s="223"/>
      <c r="AB141" s="223"/>
    </row>
    <row r="142">
      <c r="A142" s="45"/>
      <c r="B142" s="42">
        <v>45811.0</v>
      </c>
      <c r="C142" s="33" t="s">
        <v>1131</v>
      </c>
      <c r="D142" s="34"/>
      <c r="E142" s="33" t="s">
        <v>1136</v>
      </c>
      <c r="F142" s="35" t="s">
        <v>1137</v>
      </c>
      <c r="G142" s="35" t="s">
        <v>85</v>
      </c>
      <c r="H142" s="33" t="s">
        <v>1138</v>
      </c>
      <c r="I142" s="33" t="s">
        <v>418</v>
      </c>
      <c r="J142" s="33" t="s">
        <v>1066</v>
      </c>
    </row>
    <row r="143">
      <c r="A143" s="45"/>
      <c r="B143" s="42">
        <v>45811.0</v>
      </c>
      <c r="C143" s="33" t="s">
        <v>1131</v>
      </c>
      <c r="D143" s="34"/>
      <c r="E143" s="33" t="s">
        <v>1139</v>
      </c>
      <c r="F143" s="35" t="s">
        <v>1140</v>
      </c>
      <c r="G143" s="35" t="s">
        <v>85</v>
      </c>
      <c r="H143" s="33" t="s">
        <v>1141</v>
      </c>
      <c r="I143" s="33" t="s">
        <v>418</v>
      </c>
      <c r="J143" s="33" t="s">
        <v>1066</v>
      </c>
    </row>
    <row r="144">
      <c r="A144" s="45"/>
      <c r="B144" s="42">
        <v>45813.0</v>
      </c>
      <c r="C144" s="33" t="s">
        <v>321</v>
      </c>
      <c r="D144" s="45"/>
      <c r="E144" s="218" t="s">
        <v>1142</v>
      </c>
      <c r="F144" s="35" t="s">
        <v>1143</v>
      </c>
      <c r="G144" s="33" t="s">
        <v>22</v>
      </c>
      <c r="H144" s="218" t="s">
        <v>695</v>
      </c>
      <c r="I144" s="33" t="s">
        <v>206</v>
      </c>
      <c r="J144" s="33" t="s">
        <v>1066</v>
      </c>
    </row>
    <row r="145">
      <c r="A145" s="45"/>
      <c r="B145" s="42">
        <v>45813.0</v>
      </c>
      <c r="C145" s="33" t="s">
        <v>65</v>
      </c>
      <c r="D145" s="34"/>
      <c r="E145" s="33" t="s">
        <v>1004</v>
      </c>
      <c r="F145" s="34"/>
      <c r="G145" s="35" t="s">
        <v>22</v>
      </c>
      <c r="H145" s="33" t="s">
        <v>1144</v>
      </c>
      <c r="I145" s="33" t="s">
        <v>206</v>
      </c>
      <c r="J145" s="33" t="s">
        <v>1066</v>
      </c>
    </row>
    <row r="146">
      <c r="A146" s="45"/>
      <c r="B146" s="42">
        <v>45813.0</v>
      </c>
      <c r="C146" s="33" t="s">
        <v>270</v>
      </c>
      <c r="D146" s="45"/>
      <c r="E146" s="218" t="s">
        <v>1145</v>
      </c>
      <c r="F146" s="34"/>
      <c r="G146" s="33" t="s">
        <v>22</v>
      </c>
      <c r="H146" s="218" t="s">
        <v>191</v>
      </c>
      <c r="I146" s="33" t="s">
        <v>206</v>
      </c>
      <c r="J146" s="33" t="s">
        <v>813</v>
      </c>
    </row>
    <row r="147">
      <c r="A147" s="45"/>
      <c r="B147" s="42">
        <v>45814.0</v>
      </c>
      <c r="C147" s="33" t="s">
        <v>65</v>
      </c>
      <c r="D147" s="45"/>
      <c r="E147" s="218" t="s">
        <v>1146</v>
      </c>
      <c r="F147" s="34"/>
      <c r="G147" s="33" t="s">
        <v>85</v>
      </c>
      <c r="H147" s="218" t="s">
        <v>1147</v>
      </c>
      <c r="I147" s="33" t="s">
        <v>48</v>
      </c>
      <c r="J147" s="33" t="s">
        <v>813</v>
      </c>
    </row>
    <row r="148">
      <c r="A148" s="45"/>
      <c r="B148" s="42">
        <v>45814.0</v>
      </c>
      <c r="C148" s="33" t="s">
        <v>65</v>
      </c>
      <c r="D148" s="45"/>
      <c r="E148" s="218" t="s">
        <v>1148</v>
      </c>
      <c r="F148" s="34"/>
      <c r="G148" s="33" t="s">
        <v>85</v>
      </c>
      <c r="H148" s="218" t="s">
        <v>1147</v>
      </c>
      <c r="I148" s="33" t="s">
        <v>48</v>
      </c>
      <c r="J148" s="33" t="s">
        <v>1066</v>
      </c>
    </row>
    <row r="149">
      <c r="A149" s="45"/>
      <c r="B149" s="42">
        <v>45814.0</v>
      </c>
      <c r="C149" s="33" t="s">
        <v>65</v>
      </c>
      <c r="D149" s="45"/>
      <c r="E149" s="218" t="s">
        <v>1149</v>
      </c>
      <c r="F149" s="34"/>
      <c r="G149" s="33" t="s">
        <v>85</v>
      </c>
      <c r="H149" s="218" t="s">
        <v>1147</v>
      </c>
      <c r="I149" s="33" t="s">
        <v>48</v>
      </c>
      <c r="J149" s="33" t="s">
        <v>1150</v>
      </c>
    </row>
    <row r="150">
      <c r="A150" s="45"/>
      <c r="B150" s="32">
        <v>45818.0</v>
      </c>
      <c r="C150" s="218" t="s">
        <v>1151</v>
      </c>
      <c r="D150" s="45"/>
      <c r="E150" s="218" t="s">
        <v>1152</v>
      </c>
      <c r="F150" s="34"/>
      <c r="G150" s="33" t="s">
        <v>55</v>
      </c>
      <c r="H150" s="218" t="s">
        <v>1153</v>
      </c>
      <c r="I150" s="33" t="s">
        <v>400</v>
      </c>
      <c r="J150" s="33" t="s">
        <v>1066</v>
      </c>
    </row>
    <row r="151">
      <c r="A151" s="45"/>
      <c r="B151" s="220">
        <v>45818.0</v>
      </c>
      <c r="C151" s="218" t="s">
        <v>1154</v>
      </c>
      <c r="D151" s="34"/>
      <c r="E151" s="33" t="s">
        <v>1155</v>
      </c>
      <c r="F151" s="45"/>
      <c r="G151" s="44" t="s">
        <v>22</v>
      </c>
      <c r="H151" s="33" t="s">
        <v>1156</v>
      </c>
      <c r="I151" s="33" t="s">
        <v>400</v>
      </c>
      <c r="J151" s="33" t="s">
        <v>1090</v>
      </c>
    </row>
    <row r="152">
      <c r="A152" s="45"/>
      <c r="B152" s="32">
        <v>45819.0</v>
      </c>
      <c r="C152" s="33" t="s">
        <v>65</v>
      </c>
      <c r="D152" s="34"/>
      <c r="E152" s="33" t="s">
        <v>1157</v>
      </c>
      <c r="F152" s="34"/>
      <c r="G152" s="35" t="s">
        <v>22</v>
      </c>
      <c r="H152" s="33" t="s">
        <v>888</v>
      </c>
      <c r="I152" s="33" t="s">
        <v>130</v>
      </c>
      <c r="J152" s="33" t="s">
        <v>1090</v>
      </c>
    </row>
    <row r="153">
      <c r="A153" s="45"/>
      <c r="B153" s="32">
        <v>45820.0</v>
      </c>
      <c r="C153" s="33" t="s">
        <v>1158</v>
      </c>
      <c r="D153" s="34"/>
      <c r="E153" s="33" t="s">
        <v>1159</v>
      </c>
      <c r="F153" s="34"/>
      <c r="G153" s="35" t="s">
        <v>22</v>
      </c>
      <c r="H153" s="33" t="s">
        <v>148</v>
      </c>
      <c r="I153" s="33" t="s">
        <v>206</v>
      </c>
      <c r="J153" s="45"/>
    </row>
    <row r="154">
      <c r="A154" s="110"/>
      <c r="B154" s="176">
        <v>45820.0</v>
      </c>
      <c r="C154" s="112" t="s">
        <v>934</v>
      </c>
      <c r="D154" s="114"/>
      <c r="E154" s="112" t="s">
        <v>890</v>
      </c>
      <c r="F154" s="113" t="s">
        <v>1160</v>
      </c>
      <c r="G154" s="113" t="s">
        <v>22</v>
      </c>
      <c r="H154" s="112" t="s">
        <v>1161</v>
      </c>
      <c r="I154" s="112" t="s">
        <v>206</v>
      </c>
      <c r="J154" s="112" t="s">
        <v>1162</v>
      </c>
    </row>
    <row r="155">
      <c r="A155" s="45"/>
      <c r="B155" s="32">
        <v>45820.0</v>
      </c>
      <c r="C155" s="33" t="s">
        <v>934</v>
      </c>
      <c r="D155" s="34"/>
      <c r="E155" s="33" t="s">
        <v>1163</v>
      </c>
      <c r="F155" s="34"/>
      <c r="G155" s="35" t="s">
        <v>1164</v>
      </c>
      <c r="H155" s="33" t="s">
        <v>148</v>
      </c>
      <c r="I155" s="33" t="s">
        <v>206</v>
      </c>
      <c r="J155" s="45"/>
    </row>
    <row r="156">
      <c r="A156" s="45"/>
      <c r="B156" s="32">
        <v>45820.0</v>
      </c>
      <c r="C156" s="33" t="s">
        <v>65</v>
      </c>
      <c r="D156" s="34"/>
      <c r="E156" s="33" t="s">
        <v>571</v>
      </c>
      <c r="F156" s="34"/>
      <c r="G156" s="35" t="s">
        <v>22</v>
      </c>
      <c r="H156" s="33" t="s">
        <v>1165</v>
      </c>
      <c r="I156" s="33" t="s">
        <v>206</v>
      </c>
      <c r="J156" s="45"/>
    </row>
    <row r="157">
      <c r="A157" s="45"/>
      <c r="B157" s="32">
        <v>45820.0</v>
      </c>
      <c r="C157" s="33" t="s">
        <v>65</v>
      </c>
      <c r="D157" s="34"/>
      <c r="E157" s="33" t="s">
        <v>1166</v>
      </c>
      <c r="F157" s="35" t="s">
        <v>1167</v>
      </c>
      <c r="G157" s="35" t="s">
        <v>22</v>
      </c>
      <c r="H157" s="33" t="s">
        <v>1168</v>
      </c>
      <c r="I157" s="33" t="s">
        <v>206</v>
      </c>
      <c r="J157" s="33" t="s">
        <v>813</v>
      </c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</row>
    <row r="158">
      <c r="A158" s="45"/>
      <c r="B158" s="32">
        <v>45822.0</v>
      </c>
      <c r="C158" s="33" t="s">
        <v>146</v>
      </c>
      <c r="D158" s="34"/>
      <c r="E158" s="33" t="s">
        <v>1169</v>
      </c>
      <c r="F158" s="34"/>
      <c r="G158" s="35" t="s">
        <v>22</v>
      </c>
      <c r="H158" s="33" t="s">
        <v>1170</v>
      </c>
      <c r="I158" s="33" t="s">
        <v>130</v>
      </c>
      <c r="J158" s="33" t="s">
        <v>813</v>
      </c>
    </row>
    <row r="159">
      <c r="A159" s="45"/>
      <c r="B159" s="32">
        <v>45825.0</v>
      </c>
      <c r="C159" s="33" t="s">
        <v>206</v>
      </c>
      <c r="D159" s="34"/>
      <c r="E159" s="33" t="s">
        <v>1171</v>
      </c>
      <c r="F159" s="35" t="s">
        <v>1172</v>
      </c>
      <c r="G159" s="35" t="s">
        <v>22</v>
      </c>
      <c r="H159" s="33" t="s">
        <v>1173</v>
      </c>
      <c r="I159" s="33" t="s">
        <v>400</v>
      </c>
      <c r="J159" s="33" t="s">
        <v>1090</v>
      </c>
    </row>
    <row r="160">
      <c r="A160" s="45"/>
      <c r="B160" s="32">
        <v>45825.0</v>
      </c>
      <c r="C160" s="33" t="s">
        <v>1174</v>
      </c>
      <c r="D160" s="35" t="s">
        <v>1175</v>
      </c>
      <c r="E160" s="33" t="s">
        <v>1176</v>
      </c>
      <c r="F160" s="35" t="s">
        <v>1177</v>
      </c>
      <c r="G160" s="35" t="s">
        <v>22</v>
      </c>
      <c r="H160" s="33" t="s">
        <v>1178</v>
      </c>
      <c r="I160" s="33" t="s">
        <v>400</v>
      </c>
      <c r="J160" s="33" t="s">
        <v>1179</v>
      </c>
    </row>
    <row r="161">
      <c r="A161" s="45"/>
      <c r="B161" s="32">
        <v>45826.0</v>
      </c>
      <c r="C161" s="33" t="s">
        <v>146</v>
      </c>
      <c r="D161" s="34"/>
      <c r="E161" s="33" t="s">
        <v>1180</v>
      </c>
      <c r="F161" s="34"/>
      <c r="G161" s="35" t="s">
        <v>22</v>
      </c>
      <c r="H161" s="33" t="s">
        <v>1181</v>
      </c>
      <c r="I161" s="33" t="s">
        <v>24</v>
      </c>
      <c r="J161" s="33" t="s">
        <v>1080</v>
      </c>
    </row>
    <row r="162">
      <c r="A162" s="45"/>
      <c r="B162" s="32">
        <v>45827.0</v>
      </c>
      <c r="C162" s="33" t="s">
        <v>1182</v>
      </c>
      <c r="D162" s="34"/>
      <c r="E162" s="33" t="s">
        <v>116</v>
      </c>
      <c r="F162" s="34"/>
      <c r="G162" s="35" t="s">
        <v>22</v>
      </c>
      <c r="H162" s="33" t="s">
        <v>1183</v>
      </c>
      <c r="I162" s="33" t="s">
        <v>36</v>
      </c>
      <c r="J162" s="33" t="s">
        <v>1184</v>
      </c>
    </row>
    <row r="163">
      <c r="A163" s="45"/>
      <c r="B163" s="32">
        <v>45827.0</v>
      </c>
      <c r="C163" s="33" t="s">
        <v>326</v>
      </c>
      <c r="D163" s="34"/>
      <c r="E163" s="33" t="s">
        <v>1185</v>
      </c>
      <c r="F163" s="34"/>
      <c r="G163" s="35" t="s">
        <v>22</v>
      </c>
      <c r="H163" s="33" t="s">
        <v>514</v>
      </c>
      <c r="I163" s="33" t="s">
        <v>400</v>
      </c>
      <c r="J163" s="33" t="s">
        <v>813</v>
      </c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</row>
    <row r="164">
      <c r="A164" s="45"/>
      <c r="B164" s="32">
        <v>45828.0</v>
      </c>
      <c r="C164" s="33" t="s">
        <v>65</v>
      </c>
      <c r="D164" s="34"/>
      <c r="E164" s="33" t="s">
        <v>1186</v>
      </c>
      <c r="F164" s="34"/>
      <c r="G164" s="35" t="s">
        <v>22</v>
      </c>
      <c r="H164" s="33" t="s">
        <v>323</v>
      </c>
      <c r="I164" s="33" t="s">
        <v>400</v>
      </c>
      <c r="J164" s="33" t="s">
        <v>1187</v>
      </c>
    </row>
    <row r="165">
      <c r="A165" s="45"/>
      <c r="B165" s="32">
        <v>45828.0</v>
      </c>
      <c r="C165" s="33" t="s">
        <v>65</v>
      </c>
      <c r="D165" s="34"/>
      <c r="E165" s="33" t="s">
        <v>1188</v>
      </c>
      <c r="F165" s="34"/>
      <c r="G165" s="35" t="s">
        <v>22</v>
      </c>
      <c r="H165" s="33" t="s">
        <v>323</v>
      </c>
      <c r="I165" s="33" t="s">
        <v>400</v>
      </c>
      <c r="J165" s="33" t="s">
        <v>1187</v>
      </c>
    </row>
    <row r="166">
      <c r="A166" s="45"/>
      <c r="B166" s="76">
        <v>45831.0</v>
      </c>
      <c r="C166" s="33" t="s">
        <v>25</v>
      </c>
      <c r="D166" s="34"/>
      <c r="E166" s="33" t="s">
        <v>1189</v>
      </c>
      <c r="F166" s="34"/>
      <c r="G166" s="35" t="s">
        <v>22</v>
      </c>
      <c r="H166" s="33" t="s">
        <v>203</v>
      </c>
      <c r="I166" s="33" t="s">
        <v>95</v>
      </c>
      <c r="J166" s="33" t="s">
        <v>1190</v>
      </c>
    </row>
    <row r="167">
      <c r="A167" s="58"/>
      <c r="B167" s="77">
        <v>45831.0</v>
      </c>
      <c r="C167" s="60" t="s">
        <v>65</v>
      </c>
      <c r="D167" s="61"/>
      <c r="E167" s="60" t="s">
        <v>1191</v>
      </c>
      <c r="F167" s="61"/>
      <c r="G167" s="62" t="s">
        <v>22</v>
      </c>
      <c r="H167" s="60" t="s">
        <v>1192</v>
      </c>
      <c r="I167" s="60" t="s">
        <v>95</v>
      </c>
      <c r="J167" s="60" t="s">
        <v>1193</v>
      </c>
    </row>
    <row r="168">
      <c r="A168" s="45"/>
      <c r="B168" s="76">
        <v>45831.0</v>
      </c>
      <c r="C168" s="33" t="s">
        <v>65</v>
      </c>
      <c r="D168" s="34"/>
      <c r="E168" s="33" t="s">
        <v>1194</v>
      </c>
      <c r="F168" s="34"/>
      <c r="G168" s="35" t="s">
        <v>22</v>
      </c>
      <c r="H168" s="33" t="s">
        <v>1195</v>
      </c>
      <c r="I168" s="33" t="s">
        <v>95</v>
      </c>
      <c r="J168" s="33" t="s">
        <v>813</v>
      </c>
    </row>
    <row r="169">
      <c r="A169" s="45"/>
      <c r="B169" s="76">
        <v>45831.0</v>
      </c>
      <c r="C169" s="33" t="s">
        <v>65</v>
      </c>
      <c r="D169" s="34"/>
      <c r="E169" s="33" t="s">
        <v>1196</v>
      </c>
      <c r="F169" s="34"/>
      <c r="G169" s="35" t="s">
        <v>22</v>
      </c>
      <c r="H169" s="33" t="s">
        <v>1195</v>
      </c>
      <c r="I169" s="33" t="s">
        <v>95</v>
      </c>
      <c r="J169" s="33" t="s">
        <v>1187</v>
      </c>
    </row>
    <row r="170">
      <c r="A170" s="45"/>
      <c r="B170" s="76">
        <v>45831.0</v>
      </c>
      <c r="C170" s="33" t="s">
        <v>65</v>
      </c>
      <c r="D170" s="34"/>
      <c r="E170" s="33" t="s">
        <v>1197</v>
      </c>
      <c r="F170" s="34"/>
      <c r="G170" s="35" t="s">
        <v>22</v>
      </c>
      <c r="H170" s="33" t="s">
        <v>1195</v>
      </c>
      <c r="I170" s="33" t="s">
        <v>95</v>
      </c>
      <c r="J170" s="33" t="s">
        <v>1187</v>
      </c>
    </row>
    <row r="171">
      <c r="A171" s="45"/>
      <c r="B171" s="32">
        <v>45832.0</v>
      </c>
      <c r="C171" s="33" t="s">
        <v>149</v>
      </c>
      <c r="D171" s="34"/>
      <c r="E171" s="33" t="s">
        <v>1198</v>
      </c>
      <c r="F171" s="34"/>
      <c r="G171" s="35" t="s">
        <v>22</v>
      </c>
      <c r="H171" s="33" t="s">
        <v>323</v>
      </c>
      <c r="I171" s="33" t="s">
        <v>400</v>
      </c>
      <c r="J171" s="33" t="s">
        <v>1199</v>
      </c>
      <c r="K171" s="33" t="s">
        <v>95</v>
      </c>
    </row>
    <row r="172">
      <c r="A172" s="45"/>
      <c r="B172" s="32">
        <v>45832.0</v>
      </c>
      <c r="C172" s="33" t="s">
        <v>1200</v>
      </c>
      <c r="D172" s="34"/>
      <c r="E172" s="33" t="s">
        <v>1201</v>
      </c>
      <c r="F172" s="34"/>
      <c r="G172" s="35" t="s">
        <v>22</v>
      </c>
      <c r="H172" s="33" t="s">
        <v>1202</v>
      </c>
      <c r="I172" s="33" t="s">
        <v>400</v>
      </c>
      <c r="J172" s="218" t="s">
        <v>1203</v>
      </c>
      <c r="K172" s="25"/>
    </row>
    <row r="173">
      <c r="A173" s="45"/>
      <c r="B173" s="32">
        <v>45832.0</v>
      </c>
      <c r="C173" s="33" t="s">
        <v>1204</v>
      </c>
      <c r="D173" s="34"/>
      <c r="E173" s="33" t="s">
        <v>1205</v>
      </c>
      <c r="F173" s="34"/>
      <c r="G173" s="35" t="s">
        <v>22</v>
      </c>
      <c r="H173" s="33" t="s">
        <v>1206</v>
      </c>
      <c r="I173" s="33" t="s">
        <v>400</v>
      </c>
      <c r="J173" s="33" t="s">
        <v>1187</v>
      </c>
    </row>
    <row r="174">
      <c r="A174" s="45"/>
      <c r="B174" s="32">
        <v>45834.0</v>
      </c>
      <c r="C174" s="33" t="s">
        <v>1207</v>
      </c>
      <c r="D174" s="34"/>
      <c r="E174" s="33" t="s">
        <v>1208</v>
      </c>
      <c r="F174" s="34"/>
      <c r="G174" s="35" t="s">
        <v>22</v>
      </c>
      <c r="H174" s="33" t="s">
        <v>1209</v>
      </c>
      <c r="I174" s="33" t="s">
        <v>206</v>
      </c>
      <c r="J174" s="33" t="s">
        <v>1080</v>
      </c>
    </row>
    <row r="175">
      <c r="A175" s="45"/>
      <c r="B175" s="32">
        <v>45834.0</v>
      </c>
      <c r="C175" s="33" t="s">
        <v>1210</v>
      </c>
      <c r="D175" s="34"/>
      <c r="E175" s="33" t="s">
        <v>262</v>
      </c>
      <c r="F175" s="34"/>
      <c r="G175" s="34"/>
      <c r="H175" s="33" t="s">
        <v>1211</v>
      </c>
      <c r="I175" s="33" t="s">
        <v>36</v>
      </c>
      <c r="J175" s="33" t="s">
        <v>1080</v>
      </c>
    </row>
    <row r="176">
      <c r="A176" s="45"/>
      <c r="B176" s="42">
        <v>45839.0</v>
      </c>
      <c r="C176" s="33" t="s">
        <v>149</v>
      </c>
      <c r="D176" s="34"/>
      <c r="E176" s="33" t="s">
        <v>1212</v>
      </c>
      <c r="F176" s="34"/>
      <c r="G176" s="35" t="s">
        <v>22</v>
      </c>
      <c r="H176" s="33" t="s">
        <v>1213</v>
      </c>
      <c r="I176" s="33" t="s">
        <v>400</v>
      </c>
      <c r="J176" s="33" t="s">
        <v>1190</v>
      </c>
    </row>
    <row r="177">
      <c r="A177" s="45"/>
      <c r="B177" s="43">
        <v>45839.0</v>
      </c>
      <c r="C177" s="33" t="s">
        <v>206</v>
      </c>
      <c r="D177" s="45"/>
      <c r="E177" s="33" t="s">
        <v>863</v>
      </c>
      <c r="F177" s="45"/>
      <c r="G177" s="33" t="s">
        <v>22</v>
      </c>
      <c r="H177" s="33" t="s">
        <v>1214</v>
      </c>
      <c r="I177" s="33" t="s">
        <v>400</v>
      </c>
      <c r="J177" s="33" t="s">
        <v>1190</v>
      </c>
    </row>
    <row r="178">
      <c r="A178" s="45"/>
      <c r="B178" s="43">
        <v>45839.0</v>
      </c>
      <c r="C178" s="33" t="s">
        <v>1215</v>
      </c>
      <c r="D178" s="45"/>
      <c r="E178" s="33" t="s">
        <v>262</v>
      </c>
      <c r="F178" s="45"/>
      <c r="G178" s="33" t="s">
        <v>22</v>
      </c>
      <c r="H178" s="33" t="s">
        <v>1216</v>
      </c>
      <c r="I178" s="33" t="s">
        <v>400</v>
      </c>
      <c r="J178" s="33" t="s">
        <v>1217</v>
      </c>
    </row>
    <row r="179">
      <c r="A179" s="45"/>
      <c r="B179" s="43">
        <v>45839.0</v>
      </c>
      <c r="C179" s="33" t="s">
        <v>65</v>
      </c>
      <c r="D179" s="45"/>
      <c r="E179" s="33" t="s">
        <v>1218</v>
      </c>
      <c r="F179" s="45"/>
      <c r="G179" s="33" t="s">
        <v>22</v>
      </c>
      <c r="H179" s="33" t="s">
        <v>1219</v>
      </c>
      <c r="I179" s="33" t="s">
        <v>400</v>
      </c>
      <c r="J179" s="33" t="s">
        <v>1220</v>
      </c>
    </row>
    <row r="180">
      <c r="A180" s="58"/>
      <c r="B180" s="224">
        <v>45839.0</v>
      </c>
      <c r="C180" s="60" t="s">
        <v>65</v>
      </c>
      <c r="D180" s="58"/>
      <c r="E180" s="60" t="s">
        <v>1221</v>
      </c>
      <c r="F180" s="58"/>
      <c r="G180" s="60" t="s">
        <v>22</v>
      </c>
      <c r="H180" s="60" t="s">
        <v>1222</v>
      </c>
      <c r="I180" s="60" t="s">
        <v>400</v>
      </c>
      <c r="J180" s="60" t="s">
        <v>1223</v>
      </c>
    </row>
    <row r="181">
      <c r="A181" s="45"/>
      <c r="B181" s="42">
        <v>45839.0</v>
      </c>
      <c r="C181" s="33" t="s">
        <v>65</v>
      </c>
      <c r="D181" s="34"/>
      <c r="E181" s="33" t="s">
        <v>241</v>
      </c>
      <c r="F181" s="34"/>
      <c r="G181" s="35" t="s">
        <v>22</v>
      </c>
      <c r="H181" s="33" t="s">
        <v>1224</v>
      </c>
      <c r="I181" s="33" t="s">
        <v>400</v>
      </c>
      <c r="J181" s="33" t="s">
        <v>1225</v>
      </c>
    </row>
    <row r="182">
      <c r="A182" s="45"/>
      <c r="B182" s="42">
        <v>45840.0</v>
      </c>
      <c r="C182" s="33" t="s">
        <v>1226</v>
      </c>
      <c r="D182" s="34"/>
      <c r="E182" s="33" t="s">
        <v>29</v>
      </c>
      <c r="F182" s="34"/>
      <c r="G182" s="35" t="s">
        <v>22</v>
      </c>
      <c r="H182" s="33" t="s">
        <v>1227</v>
      </c>
      <c r="I182" s="33" t="s">
        <v>400</v>
      </c>
      <c r="J182" s="33" t="s">
        <v>1225</v>
      </c>
    </row>
    <row r="183">
      <c r="A183" s="45"/>
      <c r="B183" s="42">
        <v>45840.0</v>
      </c>
      <c r="C183" s="33" t="s">
        <v>1228</v>
      </c>
      <c r="D183" s="34"/>
      <c r="E183" s="33" t="s">
        <v>1229</v>
      </c>
      <c r="F183" s="34"/>
      <c r="G183" s="35" t="s">
        <v>22</v>
      </c>
      <c r="H183" s="33" t="s">
        <v>1230</v>
      </c>
      <c r="I183" s="33" t="s">
        <v>400</v>
      </c>
      <c r="J183" s="33" t="s">
        <v>1231</v>
      </c>
    </row>
    <row r="184">
      <c r="A184" s="45"/>
      <c r="B184" s="225">
        <v>45841.0</v>
      </c>
      <c r="C184" s="33" t="s">
        <v>146</v>
      </c>
      <c r="D184" s="34"/>
      <c r="E184" s="33" t="s">
        <v>1215</v>
      </c>
      <c r="F184" s="34"/>
      <c r="G184" s="35" t="s">
        <v>22</v>
      </c>
      <c r="H184" s="33" t="s">
        <v>565</v>
      </c>
      <c r="I184" s="33" t="s">
        <v>36</v>
      </c>
      <c r="J184" s="33" t="s">
        <v>1232</v>
      </c>
    </row>
    <row r="185">
      <c r="A185" s="45"/>
      <c r="B185" s="42">
        <v>45842.0</v>
      </c>
      <c r="C185" s="33" t="s">
        <v>229</v>
      </c>
      <c r="D185" s="34"/>
      <c r="E185" s="33" t="s">
        <v>1233</v>
      </c>
      <c r="F185" s="34"/>
      <c r="G185" s="35" t="s">
        <v>289</v>
      </c>
      <c r="H185" s="33" t="s">
        <v>1234</v>
      </c>
      <c r="I185" s="33" t="s">
        <v>25</v>
      </c>
      <c r="J185" s="33" t="s">
        <v>1235</v>
      </c>
    </row>
    <row r="186">
      <c r="A186" s="58"/>
      <c r="B186" s="178">
        <v>45842.0</v>
      </c>
      <c r="C186" s="60" t="s">
        <v>1236</v>
      </c>
      <c r="D186" s="61"/>
      <c r="E186" s="60" t="s">
        <v>29</v>
      </c>
      <c r="F186" s="61"/>
      <c r="G186" s="62" t="s">
        <v>22</v>
      </c>
      <c r="H186" s="60" t="s">
        <v>798</v>
      </c>
      <c r="I186" s="60" t="s">
        <v>25</v>
      </c>
      <c r="J186" s="60" t="s">
        <v>1237</v>
      </c>
    </row>
    <row r="187">
      <c r="A187" s="45"/>
      <c r="B187" s="42">
        <v>45842.0</v>
      </c>
      <c r="C187" s="33" t="s">
        <v>206</v>
      </c>
      <c r="D187" s="34"/>
      <c r="E187" s="33" t="s">
        <v>1238</v>
      </c>
      <c r="F187" s="34"/>
      <c r="G187" s="35" t="s">
        <v>1239</v>
      </c>
      <c r="H187" s="33" t="s">
        <v>798</v>
      </c>
      <c r="I187" s="33" t="s">
        <v>25</v>
      </c>
      <c r="J187" s="33" t="s">
        <v>1096</v>
      </c>
    </row>
    <row r="188">
      <c r="A188" s="45"/>
      <c r="B188" s="42">
        <v>45842.0</v>
      </c>
      <c r="C188" s="33" t="s">
        <v>206</v>
      </c>
      <c r="D188" s="34"/>
      <c r="E188" s="33" t="s">
        <v>1240</v>
      </c>
      <c r="F188" s="34"/>
      <c r="G188" s="35" t="s">
        <v>1241</v>
      </c>
      <c r="H188" s="33" t="s">
        <v>133</v>
      </c>
      <c r="I188" s="33" t="s">
        <v>25</v>
      </c>
      <c r="J188" s="33" t="s">
        <v>813</v>
      </c>
    </row>
    <row r="189">
      <c r="A189" s="58"/>
      <c r="B189" s="178">
        <v>45842.0</v>
      </c>
      <c r="C189" s="60" t="s">
        <v>270</v>
      </c>
      <c r="D189" s="61"/>
      <c r="E189" s="60" t="s">
        <v>1242</v>
      </c>
      <c r="F189" s="62"/>
      <c r="G189" s="62" t="s">
        <v>22</v>
      </c>
      <c r="H189" s="60" t="s">
        <v>1243</v>
      </c>
      <c r="I189" s="60" t="s">
        <v>25</v>
      </c>
      <c r="J189" s="60" t="s">
        <v>1244</v>
      </c>
    </row>
    <row r="190">
      <c r="A190" s="45"/>
      <c r="B190" s="42">
        <v>45843.0</v>
      </c>
      <c r="C190" s="33" t="s">
        <v>206</v>
      </c>
      <c r="D190" s="34"/>
      <c r="E190" s="33" t="s">
        <v>1245</v>
      </c>
      <c r="F190" s="34"/>
      <c r="G190" s="35" t="s">
        <v>22</v>
      </c>
      <c r="H190" s="33" t="s">
        <v>133</v>
      </c>
      <c r="I190" s="33" t="s">
        <v>1246</v>
      </c>
      <c r="J190" s="33" t="s">
        <v>1247</v>
      </c>
    </row>
    <row r="191">
      <c r="A191" s="45"/>
      <c r="B191" s="42">
        <v>45845.0</v>
      </c>
      <c r="C191" s="33" t="s">
        <v>1128</v>
      </c>
      <c r="D191" s="34"/>
      <c r="E191" s="33" t="s">
        <v>1248</v>
      </c>
      <c r="F191" s="35">
        <v>2.29407902E8</v>
      </c>
      <c r="G191" s="35" t="s">
        <v>1249</v>
      </c>
      <c r="H191" s="33" t="s">
        <v>1250</v>
      </c>
      <c r="I191" s="33" t="s">
        <v>1251</v>
      </c>
      <c r="J191" s="33" t="s">
        <v>1252</v>
      </c>
    </row>
    <row r="192">
      <c r="A192" s="45"/>
      <c r="B192" s="42">
        <v>45845.0</v>
      </c>
      <c r="C192" s="33" t="s">
        <v>146</v>
      </c>
      <c r="D192" s="34"/>
      <c r="E192" s="33" t="s">
        <v>1253</v>
      </c>
      <c r="F192" s="34"/>
      <c r="G192" s="35" t="s">
        <v>22</v>
      </c>
      <c r="H192" s="33" t="s">
        <v>1254</v>
      </c>
      <c r="I192" s="33" t="s">
        <v>1251</v>
      </c>
      <c r="J192" s="33" t="s">
        <v>1255</v>
      </c>
    </row>
    <row r="193">
      <c r="A193" s="45"/>
      <c r="B193" s="42">
        <v>45846.0</v>
      </c>
      <c r="C193" s="33" t="s">
        <v>814</v>
      </c>
      <c r="D193" s="34"/>
      <c r="E193" s="33" t="s">
        <v>1256</v>
      </c>
      <c r="F193" s="34"/>
      <c r="G193" s="35" t="s">
        <v>22</v>
      </c>
      <c r="H193" s="33" t="s">
        <v>1254</v>
      </c>
      <c r="I193" s="33" t="s">
        <v>24</v>
      </c>
      <c r="J193" s="33" t="s">
        <v>1257</v>
      </c>
    </row>
    <row r="194">
      <c r="A194" s="45"/>
      <c r="B194" s="42">
        <v>45847.0</v>
      </c>
      <c r="C194" s="33" t="s">
        <v>146</v>
      </c>
      <c r="D194" s="34"/>
      <c r="E194" s="33" t="s">
        <v>1258</v>
      </c>
      <c r="F194" s="34"/>
      <c r="G194" s="35" t="s">
        <v>22</v>
      </c>
      <c r="H194" s="33" t="s">
        <v>1259</v>
      </c>
      <c r="I194" s="33" t="s">
        <v>24</v>
      </c>
      <c r="J194" s="33" t="s">
        <v>1260</v>
      </c>
    </row>
    <row r="195">
      <c r="A195" s="45"/>
      <c r="B195" s="42">
        <v>45847.0</v>
      </c>
      <c r="C195" s="33" t="s">
        <v>1261</v>
      </c>
      <c r="D195" s="34"/>
      <c r="E195" s="33" t="s">
        <v>29</v>
      </c>
      <c r="F195" s="34"/>
      <c r="G195" s="35" t="s">
        <v>1262</v>
      </c>
      <c r="H195" s="33" t="s">
        <v>1263</v>
      </c>
      <c r="I195" s="33" t="s">
        <v>24</v>
      </c>
      <c r="J195" s="33" t="s">
        <v>1264</v>
      </c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</row>
    <row r="196">
      <c r="A196" s="45"/>
      <c r="B196" s="32">
        <v>45848.0</v>
      </c>
      <c r="C196" s="33" t="s">
        <v>65</v>
      </c>
      <c r="D196" s="34"/>
      <c r="E196" s="33" t="s">
        <v>1265</v>
      </c>
      <c r="F196" s="34"/>
      <c r="G196" s="35" t="s">
        <v>22</v>
      </c>
      <c r="H196" s="33" t="s">
        <v>1266</v>
      </c>
      <c r="I196" s="33" t="s">
        <v>206</v>
      </c>
      <c r="J196" s="33" t="s">
        <v>1267</v>
      </c>
    </row>
    <row r="197">
      <c r="A197" s="45"/>
      <c r="B197" s="32">
        <v>45848.0</v>
      </c>
      <c r="C197" s="33" t="s">
        <v>65</v>
      </c>
      <c r="D197" s="34"/>
      <c r="E197" s="33" t="s">
        <v>1268</v>
      </c>
      <c r="F197" s="34"/>
      <c r="G197" s="35" t="s">
        <v>22</v>
      </c>
      <c r="H197" s="33" t="s">
        <v>1266</v>
      </c>
      <c r="I197" s="33" t="s">
        <v>206</v>
      </c>
      <c r="J197" s="33" t="s">
        <v>1269</v>
      </c>
    </row>
    <row r="198">
      <c r="A198" s="45"/>
      <c r="B198" s="32">
        <v>45848.0</v>
      </c>
      <c r="C198" s="33" t="s">
        <v>814</v>
      </c>
      <c r="D198" s="34"/>
      <c r="E198" s="33" t="s">
        <v>1270</v>
      </c>
      <c r="F198" s="35" t="s">
        <v>1271</v>
      </c>
      <c r="G198" s="35" t="s">
        <v>22</v>
      </c>
      <c r="H198" s="45"/>
      <c r="I198" s="45"/>
      <c r="J198" s="45"/>
    </row>
    <row r="199">
      <c r="A199" s="110"/>
      <c r="B199" s="226">
        <v>45849.0</v>
      </c>
      <c r="C199" s="112" t="s">
        <v>1272</v>
      </c>
      <c r="D199" s="113"/>
      <c r="E199" s="112" t="s">
        <v>1273</v>
      </c>
      <c r="F199" s="114"/>
      <c r="G199" s="113" t="s">
        <v>85</v>
      </c>
      <c r="H199" s="112" t="s">
        <v>1274</v>
      </c>
      <c r="I199" s="112" t="s">
        <v>25</v>
      </c>
      <c r="J199" s="112" t="s">
        <v>1275</v>
      </c>
    </row>
    <row r="200">
      <c r="A200" s="45"/>
      <c r="B200" s="214">
        <v>45849.0</v>
      </c>
      <c r="C200" s="33" t="s">
        <v>1272</v>
      </c>
      <c r="D200" s="34"/>
      <c r="E200" s="33" t="s">
        <v>1276</v>
      </c>
      <c r="F200" s="34"/>
      <c r="G200" s="35" t="s">
        <v>22</v>
      </c>
      <c r="H200" s="33" t="s">
        <v>1274</v>
      </c>
      <c r="I200" s="33" t="s">
        <v>25</v>
      </c>
      <c r="J200" s="33" t="s">
        <v>1275</v>
      </c>
    </row>
    <row r="201">
      <c r="A201" s="45"/>
      <c r="B201" s="32">
        <v>45850.0</v>
      </c>
      <c r="C201" s="33" t="s">
        <v>146</v>
      </c>
      <c r="D201" s="34"/>
      <c r="E201" s="33" t="s">
        <v>1277</v>
      </c>
      <c r="F201" s="34"/>
      <c r="G201" s="35" t="s">
        <v>22</v>
      </c>
      <c r="H201" s="33" t="s">
        <v>1278</v>
      </c>
      <c r="I201" s="33" t="s">
        <v>366</v>
      </c>
      <c r="J201" s="33" t="s">
        <v>1279</v>
      </c>
    </row>
    <row r="202">
      <c r="A202" s="45"/>
      <c r="B202" s="214">
        <v>45852.0</v>
      </c>
      <c r="C202" s="33" t="s">
        <v>146</v>
      </c>
      <c r="D202" s="34"/>
      <c r="E202" s="33" t="s">
        <v>1280</v>
      </c>
      <c r="F202" s="34"/>
      <c r="G202" s="35" t="s">
        <v>22</v>
      </c>
      <c r="H202" s="33" t="s">
        <v>1281</v>
      </c>
      <c r="I202" s="33" t="s">
        <v>95</v>
      </c>
      <c r="J202" s="33" t="s">
        <v>1282</v>
      </c>
    </row>
    <row r="203">
      <c r="A203" s="110"/>
      <c r="B203" s="176">
        <v>45852.0</v>
      </c>
      <c r="C203" s="112" t="s">
        <v>1283</v>
      </c>
      <c r="D203" s="114"/>
      <c r="E203" s="112" t="s">
        <v>1284</v>
      </c>
      <c r="F203" s="113" t="s">
        <v>0</v>
      </c>
      <c r="G203" s="113" t="s">
        <v>22</v>
      </c>
      <c r="H203" s="112" t="s">
        <v>77</v>
      </c>
      <c r="I203" s="112" t="s">
        <v>138</v>
      </c>
      <c r="J203" s="112" t="s">
        <v>1285</v>
      </c>
    </row>
    <row r="204">
      <c r="A204" s="45"/>
      <c r="B204" s="32">
        <v>45852.0</v>
      </c>
      <c r="C204" s="33" t="s">
        <v>1286</v>
      </c>
      <c r="D204" s="34"/>
      <c r="E204" s="33" t="s">
        <v>400</v>
      </c>
      <c r="F204" s="34"/>
      <c r="G204" s="35" t="s">
        <v>22</v>
      </c>
      <c r="H204" s="33" t="s">
        <v>276</v>
      </c>
      <c r="I204" s="33" t="s">
        <v>95</v>
      </c>
      <c r="J204" s="33" t="s">
        <v>1287</v>
      </c>
    </row>
    <row r="205">
      <c r="A205" s="45"/>
      <c r="B205" s="32">
        <v>45853.0</v>
      </c>
      <c r="C205" s="33" t="s">
        <v>206</v>
      </c>
      <c r="D205" s="34"/>
      <c r="E205" s="33" t="s">
        <v>1288</v>
      </c>
      <c r="F205" s="35" t="s">
        <v>1289</v>
      </c>
      <c r="G205" s="35" t="s">
        <v>55</v>
      </c>
      <c r="H205" s="33" t="s">
        <v>1290</v>
      </c>
      <c r="I205" s="33" t="s">
        <v>985</v>
      </c>
      <c r="J205" s="33" t="s">
        <v>1291</v>
      </c>
    </row>
    <row r="206">
      <c r="A206" s="45"/>
      <c r="B206" s="32">
        <v>45853.0</v>
      </c>
      <c r="C206" s="33" t="s">
        <v>400</v>
      </c>
      <c r="D206" s="34"/>
      <c r="E206" s="33" t="s">
        <v>899</v>
      </c>
      <c r="F206" s="35" t="s">
        <v>1292</v>
      </c>
      <c r="G206" s="35" t="s">
        <v>883</v>
      </c>
      <c r="H206" s="33" t="s">
        <v>1293</v>
      </c>
      <c r="I206" s="33" t="s">
        <v>400</v>
      </c>
      <c r="J206" s="33" t="s">
        <v>1294</v>
      </c>
    </row>
    <row r="207">
      <c r="A207" s="80"/>
      <c r="B207" s="227">
        <v>45853.0</v>
      </c>
      <c r="C207" s="80" t="s">
        <v>814</v>
      </c>
      <c r="D207" s="83"/>
      <c r="E207" s="80" t="s">
        <v>1026</v>
      </c>
      <c r="F207" s="83" t="s">
        <v>1027</v>
      </c>
      <c r="G207" s="83" t="s">
        <v>22</v>
      </c>
      <c r="H207" s="80" t="s">
        <v>984</v>
      </c>
      <c r="I207" s="80" t="s">
        <v>985</v>
      </c>
      <c r="J207" s="228" t="s">
        <v>1028</v>
      </c>
    </row>
    <row r="208">
      <c r="A208" s="45"/>
      <c r="B208" s="32">
        <v>45853.0</v>
      </c>
      <c r="C208" s="33" t="s">
        <v>920</v>
      </c>
      <c r="D208" s="34"/>
      <c r="E208" s="33" t="s">
        <v>1270</v>
      </c>
      <c r="F208" s="35" t="s">
        <v>1295</v>
      </c>
      <c r="G208" s="35" t="s">
        <v>485</v>
      </c>
      <c r="H208" s="33" t="s">
        <v>1296</v>
      </c>
      <c r="I208" s="33" t="s">
        <v>985</v>
      </c>
      <c r="J208" s="33" t="s">
        <v>1090</v>
      </c>
    </row>
    <row r="209">
      <c r="A209" s="45"/>
      <c r="B209" s="32">
        <v>45853.0</v>
      </c>
      <c r="C209" s="218" t="s">
        <v>1297</v>
      </c>
      <c r="D209" s="45"/>
      <c r="E209" s="218" t="s">
        <v>29</v>
      </c>
      <c r="F209" s="34"/>
      <c r="G209" s="33" t="s">
        <v>55</v>
      </c>
      <c r="H209" s="218" t="s">
        <v>1298</v>
      </c>
      <c r="I209" s="33" t="s">
        <v>985</v>
      </c>
      <c r="J209" s="33" t="s">
        <v>1299</v>
      </c>
    </row>
    <row r="210">
      <c r="A210" s="45"/>
      <c r="B210" s="32">
        <v>45853.0</v>
      </c>
      <c r="C210" s="33" t="s">
        <v>29</v>
      </c>
      <c r="D210" s="34"/>
      <c r="E210" s="33" t="s">
        <v>1300</v>
      </c>
      <c r="F210" s="34"/>
      <c r="G210" s="35" t="s">
        <v>55</v>
      </c>
      <c r="H210" s="33"/>
      <c r="I210" s="33" t="s">
        <v>1301</v>
      </c>
      <c r="J210" s="33" t="s">
        <v>400</v>
      </c>
      <c r="K210" s="229">
        <v>45985.0</v>
      </c>
      <c r="L210" s="35" t="s">
        <v>36</v>
      </c>
    </row>
    <row r="211">
      <c r="A211" s="45"/>
      <c r="B211" s="32">
        <v>45853.0</v>
      </c>
      <c r="C211" s="33" t="s">
        <v>206</v>
      </c>
      <c r="D211" s="34"/>
      <c r="E211" s="33" t="s">
        <v>1302</v>
      </c>
      <c r="F211" s="34"/>
      <c r="G211" s="35" t="s">
        <v>55</v>
      </c>
      <c r="H211" s="33" t="s">
        <v>1303</v>
      </c>
      <c r="I211" s="33" t="s">
        <v>985</v>
      </c>
      <c r="J211" s="33" t="s">
        <v>813</v>
      </c>
    </row>
    <row r="212">
      <c r="A212" s="45"/>
      <c r="B212" s="32">
        <v>45855.0</v>
      </c>
      <c r="C212" s="33" t="s">
        <v>814</v>
      </c>
      <c r="D212" s="34"/>
      <c r="E212" s="33" t="s">
        <v>116</v>
      </c>
      <c r="F212" s="34"/>
      <c r="G212" s="35" t="s">
        <v>22</v>
      </c>
      <c r="H212" s="33" t="s">
        <v>1304</v>
      </c>
      <c r="I212" s="33" t="s">
        <v>206</v>
      </c>
      <c r="J212" s="33" t="s">
        <v>1305</v>
      </c>
    </row>
    <row r="213">
      <c r="A213" s="45"/>
      <c r="B213" s="32">
        <v>45855.0</v>
      </c>
      <c r="C213" s="33" t="s">
        <v>1306</v>
      </c>
      <c r="D213" s="35">
        <v>9.45043898E8</v>
      </c>
      <c r="E213" s="33" t="s">
        <v>29</v>
      </c>
      <c r="F213" s="34"/>
      <c r="G213" s="35" t="s">
        <v>22</v>
      </c>
      <c r="H213" s="33" t="s">
        <v>1307</v>
      </c>
      <c r="I213" s="33" t="s">
        <v>206</v>
      </c>
      <c r="J213" s="33" t="s">
        <v>1308</v>
      </c>
    </row>
    <row r="214">
      <c r="A214" s="45"/>
      <c r="B214" s="32">
        <v>45855.0</v>
      </c>
      <c r="C214" s="33" t="s">
        <v>270</v>
      </c>
      <c r="D214" s="34"/>
      <c r="E214" s="33" t="s">
        <v>1309</v>
      </c>
      <c r="F214" s="35" t="s">
        <v>1310</v>
      </c>
      <c r="G214" s="35" t="s">
        <v>22</v>
      </c>
      <c r="H214" s="33" t="s">
        <v>1311</v>
      </c>
      <c r="I214" s="33" t="s">
        <v>206</v>
      </c>
      <c r="J214" s="33" t="s">
        <v>1308</v>
      </c>
    </row>
    <row r="215">
      <c r="A215" s="45"/>
      <c r="B215" s="32">
        <v>45855.0</v>
      </c>
      <c r="C215" s="33" t="s">
        <v>814</v>
      </c>
      <c r="D215" s="34"/>
      <c r="E215" s="33" t="s">
        <v>1312</v>
      </c>
      <c r="F215" s="35" t="s">
        <v>1313</v>
      </c>
      <c r="G215" s="35" t="s">
        <v>22</v>
      </c>
      <c r="H215" s="33" t="s">
        <v>789</v>
      </c>
      <c r="I215" s="33" t="s">
        <v>206</v>
      </c>
      <c r="J215" s="33" t="s">
        <v>1269</v>
      </c>
    </row>
    <row r="216">
      <c r="A216" s="45"/>
      <c r="B216" s="32">
        <v>45855.0</v>
      </c>
      <c r="C216" s="33" t="s">
        <v>1314</v>
      </c>
      <c r="D216" s="34">
        <f>56997058671</f>
        <v>56997058671</v>
      </c>
      <c r="E216" s="33" t="s">
        <v>1315</v>
      </c>
      <c r="F216" s="34"/>
      <c r="G216" s="35" t="s">
        <v>22</v>
      </c>
      <c r="H216" s="33" t="s">
        <v>1316</v>
      </c>
      <c r="I216" s="45"/>
      <c r="J216" s="45"/>
      <c r="K216" s="45"/>
    </row>
    <row r="217">
      <c r="A217" s="45"/>
      <c r="B217" s="32">
        <v>45856.0</v>
      </c>
      <c r="C217" s="33" t="s">
        <v>146</v>
      </c>
      <c r="D217" s="34"/>
      <c r="E217" s="33" t="s">
        <v>1317</v>
      </c>
      <c r="F217" s="34"/>
      <c r="G217" s="35" t="s">
        <v>22</v>
      </c>
      <c r="H217" s="33" t="s">
        <v>1318</v>
      </c>
      <c r="I217" s="33" t="s">
        <v>366</v>
      </c>
      <c r="J217" s="33" t="s">
        <v>1319</v>
      </c>
    </row>
    <row r="218">
      <c r="A218" s="45"/>
      <c r="B218" s="32">
        <v>45856.0</v>
      </c>
      <c r="C218" s="33" t="s">
        <v>149</v>
      </c>
      <c r="D218" s="34"/>
      <c r="E218" s="33" t="s">
        <v>1320</v>
      </c>
      <c r="F218" s="34"/>
      <c r="G218" s="35" t="s">
        <v>22</v>
      </c>
      <c r="H218" s="33" t="s">
        <v>1321</v>
      </c>
      <c r="I218" s="33" t="s">
        <v>411</v>
      </c>
      <c r="J218" s="218" t="s">
        <v>1285</v>
      </c>
      <c r="K218" s="25"/>
    </row>
    <row r="219">
      <c r="A219" s="110"/>
      <c r="B219" s="176">
        <v>45856.0</v>
      </c>
      <c r="C219" s="112" t="s">
        <v>1322</v>
      </c>
      <c r="D219" s="114"/>
      <c r="E219" s="112" t="s">
        <v>1323</v>
      </c>
      <c r="F219" s="114"/>
      <c r="G219" s="113" t="s">
        <v>22</v>
      </c>
      <c r="H219" s="112" t="s">
        <v>1324</v>
      </c>
      <c r="I219" s="112" t="s">
        <v>366</v>
      </c>
      <c r="J219" s="112" t="s">
        <v>1285</v>
      </c>
    </row>
    <row r="220">
      <c r="A220" s="110"/>
      <c r="B220" s="176">
        <v>45856.0</v>
      </c>
      <c r="C220" s="112" t="s">
        <v>65</v>
      </c>
      <c r="D220" s="114"/>
      <c r="E220" s="112" t="s">
        <v>1325</v>
      </c>
      <c r="F220" s="114"/>
      <c r="G220" s="113" t="s">
        <v>22</v>
      </c>
      <c r="H220" s="112" t="s">
        <v>1321</v>
      </c>
      <c r="I220" s="112" t="s">
        <v>411</v>
      </c>
      <c r="J220" s="112" t="s">
        <v>1326</v>
      </c>
    </row>
    <row r="221">
      <c r="A221" s="45"/>
      <c r="B221" s="32">
        <v>45857.0</v>
      </c>
      <c r="C221" s="33" t="s">
        <v>262</v>
      </c>
      <c r="D221" s="34"/>
      <c r="E221" s="33" t="s">
        <v>1280</v>
      </c>
      <c r="F221" s="34"/>
      <c r="G221" s="35" t="s">
        <v>22</v>
      </c>
      <c r="H221" s="33" t="s">
        <v>1327</v>
      </c>
      <c r="I221" s="33" t="s">
        <v>1246</v>
      </c>
      <c r="J221" s="33" t="s">
        <v>1328</v>
      </c>
    </row>
    <row r="222">
      <c r="A222" s="45"/>
      <c r="B222" s="32">
        <v>45857.0</v>
      </c>
      <c r="C222" s="33" t="s">
        <v>206</v>
      </c>
      <c r="D222" s="34"/>
      <c r="E222" s="33" t="s">
        <v>1329</v>
      </c>
      <c r="F222" s="35" t="s">
        <v>1330</v>
      </c>
      <c r="G222" s="35" t="s">
        <v>22</v>
      </c>
      <c r="H222" s="33" t="s">
        <v>148</v>
      </c>
      <c r="I222" s="33" t="s">
        <v>1246</v>
      </c>
      <c r="J222" s="33" t="s">
        <v>1331</v>
      </c>
    </row>
    <row r="223">
      <c r="A223" s="45"/>
      <c r="B223" s="32">
        <v>45859.0</v>
      </c>
      <c r="C223" s="33" t="s">
        <v>197</v>
      </c>
      <c r="D223" s="34"/>
      <c r="E223" s="33" t="s">
        <v>1332</v>
      </c>
      <c r="F223" s="35" t="s">
        <v>1333</v>
      </c>
      <c r="G223" s="35" t="s">
        <v>22</v>
      </c>
      <c r="H223" s="33" t="s">
        <v>1334</v>
      </c>
      <c r="I223" s="33" t="s">
        <v>95</v>
      </c>
      <c r="J223" s="33" t="s">
        <v>1335</v>
      </c>
    </row>
    <row r="224">
      <c r="A224" s="45"/>
      <c r="B224" s="32">
        <v>45860.0</v>
      </c>
      <c r="C224" s="33" t="s">
        <v>40</v>
      </c>
      <c r="D224" s="34"/>
      <c r="E224" s="33" t="s">
        <v>1336</v>
      </c>
      <c r="F224" s="34"/>
      <c r="G224" s="35" t="s">
        <v>22</v>
      </c>
      <c r="H224" s="33" t="s">
        <v>1337</v>
      </c>
      <c r="I224" s="33" t="s">
        <v>1338</v>
      </c>
      <c r="J224" s="33" t="s">
        <v>1339</v>
      </c>
    </row>
    <row r="225">
      <c r="A225" s="58"/>
      <c r="B225" s="100">
        <v>45860.0</v>
      </c>
      <c r="C225" s="60" t="s">
        <v>1092</v>
      </c>
      <c r="D225" s="61"/>
      <c r="E225" s="60" t="s">
        <v>1340</v>
      </c>
      <c r="F225" s="62" t="s">
        <v>1341</v>
      </c>
      <c r="G225" s="62" t="s">
        <v>22</v>
      </c>
      <c r="H225" s="60" t="s">
        <v>984</v>
      </c>
      <c r="I225" s="60" t="s">
        <v>1338</v>
      </c>
      <c r="J225" s="60" t="s">
        <v>1342</v>
      </c>
    </row>
    <row r="226">
      <c r="A226" s="58"/>
      <c r="B226" s="100">
        <v>45860.0</v>
      </c>
      <c r="C226" s="60" t="s">
        <v>40</v>
      </c>
      <c r="D226" s="61"/>
      <c r="E226" s="60" t="s">
        <v>1343</v>
      </c>
      <c r="F226" s="61"/>
      <c r="G226" s="62" t="s">
        <v>22</v>
      </c>
      <c r="H226" s="60" t="s">
        <v>1337</v>
      </c>
      <c r="I226" s="60" t="s">
        <v>1338</v>
      </c>
      <c r="J226" s="60" t="s">
        <v>1342</v>
      </c>
    </row>
    <row r="227">
      <c r="A227" s="45"/>
      <c r="B227" s="32">
        <v>45860.0</v>
      </c>
      <c r="C227" s="33" t="s">
        <v>40</v>
      </c>
      <c r="D227" s="34"/>
      <c r="E227" s="33" t="s">
        <v>1344</v>
      </c>
      <c r="F227" s="34"/>
      <c r="G227" s="35" t="s">
        <v>22</v>
      </c>
      <c r="H227" s="33" t="s">
        <v>1337</v>
      </c>
      <c r="I227" s="33" t="s">
        <v>1338</v>
      </c>
      <c r="J227" s="33" t="s">
        <v>1345</v>
      </c>
    </row>
    <row r="228">
      <c r="A228" s="45"/>
      <c r="B228" s="32">
        <v>45861.0</v>
      </c>
      <c r="C228" s="33" t="s">
        <v>25</v>
      </c>
      <c r="D228" s="34"/>
      <c r="E228" s="33" t="s">
        <v>1346</v>
      </c>
      <c r="F228" s="34"/>
      <c r="G228" s="35" t="s">
        <v>22</v>
      </c>
      <c r="H228" s="33" t="s">
        <v>1347</v>
      </c>
      <c r="I228" s="33" t="s">
        <v>24</v>
      </c>
      <c r="J228" s="33" t="s">
        <v>407</v>
      </c>
      <c r="K228" s="45"/>
    </row>
    <row r="229">
      <c r="A229" s="58"/>
      <c r="B229" s="100">
        <v>45861.0</v>
      </c>
      <c r="C229" s="60" t="s">
        <v>243</v>
      </c>
      <c r="D229" s="62"/>
      <c r="E229" s="60" t="s">
        <v>1348</v>
      </c>
      <c r="F229" s="62" t="s">
        <v>1349</v>
      </c>
      <c r="G229" s="62" t="s">
        <v>22</v>
      </c>
      <c r="H229" s="60" t="s">
        <v>148</v>
      </c>
      <c r="I229" s="60" t="s">
        <v>24</v>
      </c>
      <c r="J229" s="60" t="s">
        <v>1342</v>
      </c>
    </row>
    <row r="230">
      <c r="A230" s="45"/>
      <c r="B230" s="32">
        <v>45861.0</v>
      </c>
      <c r="C230" s="33" t="s">
        <v>25</v>
      </c>
      <c r="D230" s="34"/>
      <c r="E230" s="33" t="s">
        <v>1350</v>
      </c>
      <c r="F230" s="34"/>
      <c r="G230" s="35" t="s">
        <v>22</v>
      </c>
      <c r="H230" s="33" t="s">
        <v>148</v>
      </c>
      <c r="I230" s="33" t="s">
        <v>24</v>
      </c>
      <c r="J230" s="218" t="s">
        <v>1351</v>
      </c>
      <c r="K230" s="25"/>
    </row>
    <row r="231">
      <c r="A231" s="15"/>
      <c r="B231" s="105">
        <v>45861.0</v>
      </c>
      <c r="C231" s="65" t="s">
        <v>25</v>
      </c>
      <c r="D231" s="66"/>
      <c r="E231" s="65" t="s">
        <v>1352</v>
      </c>
      <c r="F231" s="66"/>
      <c r="G231" s="67" t="s">
        <v>22</v>
      </c>
      <c r="H231" s="65" t="s">
        <v>1353</v>
      </c>
      <c r="I231" s="15"/>
      <c r="J231" s="65" t="s">
        <v>1351</v>
      </c>
    </row>
    <row r="232">
      <c r="A232" s="58"/>
      <c r="B232" s="100">
        <v>45861.0</v>
      </c>
      <c r="C232" s="60" t="s">
        <v>149</v>
      </c>
      <c r="D232" s="61"/>
      <c r="E232" s="60" t="s">
        <v>1354</v>
      </c>
      <c r="F232" s="61"/>
      <c r="G232" s="62" t="s">
        <v>22</v>
      </c>
      <c r="H232" s="60" t="s">
        <v>1355</v>
      </c>
      <c r="I232" s="60" t="s">
        <v>24</v>
      </c>
      <c r="J232" s="60" t="s">
        <v>1356</v>
      </c>
    </row>
    <row r="233">
      <c r="A233" s="45"/>
      <c r="B233" s="32">
        <v>45862.0</v>
      </c>
      <c r="C233" s="33" t="s">
        <v>65</v>
      </c>
      <c r="D233" s="34"/>
      <c r="E233" s="33" t="s">
        <v>1357</v>
      </c>
      <c r="F233" s="34"/>
      <c r="G233" s="35" t="s">
        <v>22</v>
      </c>
      <c r="H233" s="33" t="s">
        <v>1311</v>
      </c>
      <c r="I233" s="33" t="s">
        <v>206</v>
      </c>
      <c r="J233" s="33" t="s">
        <v>1351</v>
      </c>
    </row>
    <row r="234" ht="15.0" customHeight="1">
      <c r="A234" s="45"/>
      <c r="B234" s="32">
        <v>45862.0</v>
      </c>
      <c r="C234" s="33" t="s">
        <v>65</v>
      </c>
      <c r="D234" s="34"/>
      <c r="E234" s="33" t="s">
        <v>1358</v>
      </c>
      <c r="F234" s="34"/>
      <c r="G234" s="35" t="s">
        <v>22</v>
      </c>
      <c r="H234" s="33" t="s">
        <v>1311</v>
      </c>
      <c r="I234" s="33" t="s">
        <v>206</v>
      </c>
      <c r="J234" s="33" t="s">
        <v>1359</v>
      </c>
    </row>
    <row r="235">
      <c r="A235" s="45"/>
      <c r="B235" s="32">
        <v>45863.0</v>
      </c>
      <c r="C235" s="33" t="s">
        <v>1344</v>
      </c>
      <c r="D235" s="34"/>
      <c r="E235" s="33" t="s">
        <v>40</v>
      </c>
      <c r="F235" s="34"/>
      <c r="G235" s="35" t="s">
        <v>22</v>
      </c>
      <c r="H235" s="33" t="s">
        <v>1360</v>
      </c>
      <c r="I235" s="33" t="s">
        <v>1246</v>
      </c>
      <c r="J235" s="45"/>
    </row>
    <row r="236">
      <c r="A236" s="45"/>
      <c r="B236" s="32">
        <v>45863.0</v>
      </c>
      <c r="C236" s="33" t="s">
        <v>1357</v>
      </c>
      <c r="D236" s="34"/>
      <c r="E236" s="33" t="s">
        <v>65</v>
      </c>
      <c r="F236" s="34"/>
      <c r="G236" s="35" t="s">
        <v>22</v>
      </c>
      <c r="H236" s="33" t="s">
        <v>1361</v>
      </c>
      <c r="I236" s="33" t="s">
        <v>130</v>
      </c>
      <c r="J236" s="45"/>
    </row>
    <row r="237">
      <c r="A237" s="15"/>
      <c r="B237" s="105">
        <v>45863.0</v>
      </c>
      <c r="C237" s="65" t="s">
        <v>25</v>
      </c>
      <c r="D237" s="66"/>
      <c r="E237" s="65" t="s">
        <v>1362</v>
      </c>
      <c r="F237" s="66"/>
      <c r="G237" s="67" t="s">
        <v>22</v>
      </c>
      <c r="H237" s="65" t="s">
        <v>1363</v>
      </c>
      <c r="I237" s="65" t="s">
        <v>130</v>
      </c>
      <c r="J237" s="65" t="s">
        <v>1364</v>
      </c>
    </row>
    <row r="238">
      <c r="A238" s="45"/>
      <c r="B238" s="32">
        <v>45864.0</v>
      </c>
      <c r="C238" s="33" t="s">
        <v>827</v>
      </c>
      <c r="D238" s="34"/>
      <c r="E238" s="33" t="s">
        <v>1365</v>
      </c>
      <c r="F238" s="34"/>
      <c r="G238" s="35" t="s">
        <v>22</v>
      </c>
      <c r="H238" s="33" t="s">
        <v>1366</v>
      </c>
      <c r="I238" s="33" t="s">
        <v>366</v>
      </c>
      <c r="J238" s="33" t="s">
        <v>1367</v>
      </c>
    </row>
    <row r="239">
      <c r="A239" s="45"/>
      <c r="B239" s="32">
        <v>45866.0</v>
      </c>
      <c r="C239" s="33" t="s">
        <v>1283</v>
      </c>
      <c r="D239" s="34"/>
      <c r="E239" s="33" t="s">
        <v>1284</v>
      </c>
      <c r="F239" s="34"/>
      <c r="G239" s="35" t="s">
        <v>22</v>
      </c>
      <c r="H239" s="33" t="s">
        <v>148</v>
      </c>
      <c r="I239" s="33" t="s">
        <v>95</v>
      </c>
      <c r="J239" s="33" t="s">
        <v>1359</v>
      </c>
    </row>
    <row r="240">
      <c r="A240" s="45"/>
      <c r="B240" s="32">
        <v>45866.0</v>
      </c>
      <c r="C240" s="33" t="s">
        <v>270</v>
      </c>
      <c r="D240" s="34"/>
      <c r="E240" s="33" t="s">
        <v>1368</v>
      </c>
      <c r="F240" s="35" t="s">
        <v>1369</v>
      </c>
      <c r="G240" s="35" t="s">
        <v>22</v>
      </c>
      <c r="H240" s="33" t="s">
        <v>610</v>
      </c>
      <c r="I240" s="33" t="s">
        <v>95</v>
      </c>
      <c r="J240" s="33" t="s">
        <v>1359</v>
      </c>
    </row>
    <row r="241">
      <c r="A241" s="45"/>
      <c r="B241" s="32">
        <v>45866.0</v>
      </c>
      <c r="C241" s="33" t="s">
        <v>1370</v>
      </c>
      <c r="D241" s="34"/>
      <c r="E241" s="33" t="s">
        <v>400</v>
      </c>
      <c r="F241" s="34"/>
      <c r="G241" s="35" t="s">
        <v>22</v>
      </c>
      <c r="H241" s="33" t="s">
        <v>203</v>
      </c>
      <c r="I241" s="33" t="s">
        <v>95</v>
      </c>
      <c r="J241" s="33" t="s">
        <v>1371</v>
      </c>
    </row>
    <row r="242">
      <c r="A242" s="45"/>
      <c r="B242" s="32">
        <v>45867.0</v>
      </c>
      <c r="C242" s="33" t="s">
        <v>1372</v>
      </c>
      <c r="D242" s="35" t="s">
        <v>1373</v>
      </c>
      <c r="E242" s="33" t="s">
        <v>29</v>
      </c>
      <c r="F242" s="34"/>
      <c r="G242" s="35" t="s">
        <v>22</v>
      </c>
      <c r="H242" s="33" t="s">
        <v>1374</v>
      </c>
      <c r="I242" s="33" t="s">
        <v>400</v>
      </c>
      <c r="J242" s="33" t="s">
        <v>1375</v>
      </c>
    </row>
    <row r="243">
      <c r="A243" s="45"/>
      <c r="B243" s="32">
        <v>45867.0</v>
      </c>
      <c r="C243" s="33" t="s">
        <v>206</v>
      </c>
      <c r="D243" s="34"/>
      <c r="E243" s="33" t="s">
        <v>1376</v>
      </c>
      <c r="F243" s="35" t="s">
        <v>1377</v>
      </c>
      <c r="G243" s="35" t="s">
        <v>22</v>
      </c>
      <c r="H243" s="33" t="s">
        <v>1378</v>
      </c>
      <c r="I243" s="33" t="s">
        <v>400</v>
      </c>
      <c r="J243" s="33" t="s">
        <v>1379</v>
      </c>
    </row>
    <row r="244">
      <c r="A244" s="45"/>
      <c r="B244" s="32">
        <v>45867.0</v>
      </c>
      <c r="C244" s="33" t="s">
        <v>1380</v>
      </c>
      <c r="D244" s="34"/>
      <c r="E244" s="33" t="s">
        <v>1381</v>
      </c>
      <c r="F244" s="34"/>
      <c r="G244" s="35" t="s">
        <v>22</v>
      </c>
      <c r="H244" s="33" t="s">
        <v>1382</v>
      </c>
      <c r="I244" s="33" t="s">
        <v>400</v>
      </c>
      <c r="J244" s="33" t="s">
        <v>1383</v>
      </c>
    </row>
    <row r="245">
      <c r="A245" s="45"/>
      <c r="B245" s="32">
        <v>45867.0</v>
      </c>
      <c r="C245" s="33" t="s">
        <v>1380</v>
      </c>
      <c r="D245" s="34"/>
      <c r="E245" s="33" t="s">
        <v>1384</v>
      </c>
      <c r="F245" s="34"/>
      <c r="G245" s="35" t="s">
        <v>22</v>
      </c>
      <c r="H245" s="33" t="s">
        <v>1385</v>
      </c>
      <c r="I245" s="33" t="s">
        <v>400</v>
      </c>
      <c r="J245" s="33" t="s">
        <v>1375</v>
      </c>
    </row>
    <row r="246">
      <c r="A246" s="45"/>
      <c r="B246" s="32">
        <v>45869.0</v>
      </c>
      <c r="C246" s="33" t="s">
        <v>44</v>
      </c>
      <c r="D246" s="34"/>
      <c r="E246" s="33" t="s">
        <v>1386</v>
      </c>
      <c r="F246" s="34"/>
      <c r="G246" s="35" t="s">
        <v>22</v>
      </c>
      <c r="H246" s="33" t="s">
        <v>1387</v>
      </c>
      <c r="I246" s="33" t="s">
        <v>206</v>
      </c>
      <c r="J246" s="33" t="s">
        <v>1383</v>
      </c>
    </row>
    <row r="247">
      <c r="A247" s="15"/>
      <c r="B247" s="105">
        <v>45869.0</v>
      </c>
      <c r="C247" s="65" t="s">
        <v>1388</v>
      </c>
      <c r="D247" s="66"/>
      <c r="E247" s="65" t="s">
        <v>140</v>
      </c>
      <c r="F247" s="66"/>
      <c r="G247" s="67" t="s">
        <v>22</v>
      </c>
      <c r="H247" s="65" t="s">
        <v>1389</v>
      </c>
      <c r="I247" s="65" t="s">
        <v>206</v>
      </c>
      <c r="J247" s="65" t="s">
        <v>1390</v>
      </c>
    </row>
    <row r="248">
      <c r="A248" s="15"/>
      <c r="B248" s="230">
        <v>45870.0</v>
      </c>
      <c r="C248" s="65" t="s">
        <v>1391</v>
      </c>
      <c r="D248" s="66"/>
      <c r="E248" s="65" t="s">
        <v>1392</v>
      </c>
      <c r="F248" s="66"/>
      <c r="G248" s="67" t="s">
        <v>22</v>
      </c>
      <c r="H248" s="65" t="s">
        <v>1393</v>
      </c>
      <c r="I248" s="65" t="s">
        <v>25</v>
      </c>
      <c r="J248" s="65" t="s">
        <v>1390</v>
      </c>
    </row>
    <row r="249">
      <c r="A249" s="45"/>
      <c r="B249" s="42">
        <v>45871.0</v>
      </c>
      <c r="C249" s="33" t="s">
        <v>835</v>
      </c>
      <c r="D249" s="34"/>
      <c r="E249" s="33" t="s">
        <v>1394</v>
      </c>
      <c r="F249" s="35" t="s">
        <v>1395</v>
      </c>
      <c r="G249" s="35" t="s">
        <v>1396</v>
      </c>
      <c r="H249" s="33" t="s">
        <v>148</v>
      </c>
      <c r="I249" s="33" t="s">
        <v>366</v>
      </c>
      <c r="J249" s="33" t="s">
        <v>1397</v>
      </c>
      <c r="K249" s="33" t="s">
        <v>33</v>
      </c>
    </row>
    <row r="250">
      <c r="A250" s="45"/>
      <c r="B250" s="42">
        <v>45873.0</v>
      </c>
      <c r="C250" s="33" t="s">
        <v>65</v>
      </c>
      <c r="D250" s="34"/>
      <c r="E250" s="33" t="s">
        <v>1398</v>
      </c>
      <c r="F250" s="34"/>
      <c r="G250" s="35" t="s">
        <v>22</v>
      </c>
      <c r="H250" s="33" t="s">
        <v>203</v>
      </c>
      <c r="I250" s="33" t="s">
        <v>95</v>
      </c>
      <c r="J250" s="33" t="s">
        <v>1364</v>
      </c>
    </row>
    <row r="251">
      <c r="A251" s="45"/>
      <c r="B251" s="42">
        <v>45873.0</v>
      </c>
      <c r="C251" s="33" t="s">
        <v>1399</v>
      </c>
      <c r="D251" s="34"/>
      <c r="E251" s="33" t="s">
        <v>29</v>
      </c>
      <c r="F251" s="34"/>
      <c r="G251" s="35" t="s">
        <v>22</v>
      </c>
      <c r="H251" s="33" t="s">
        <v>148</v>
      </c>
      <c r="I251" s="33" t="s">
        <v>138</v>
      </c>
      <c r="J251" s="218" t="s">
        <v>1364</v>
      </c>
      <c r="K251" s="25"/>
    </row>
    <row r="252">
      <c r="A252" s="45"/>
      <c r="B252" s="42">
        <v>45873.0</v>
      </c>
      <c r="C252" s="33" t="s">
        <v>149</v>
      </c>
      <c r="D252" s="34"/>
      <c r="E252" s="33" t="s">
        <v>821</v>
      </c>
      <c r="F252" s="34"/>
      <c r="G252" s="35" t="s">
        <v>1400</v>
      </c>
      <c r="H252" s="33" t="s">
        <v>148</v>
      </c>
      <c r="I252" s="33" t="s">
        <v>95</v>
      </c>
      <c r="J252" s="33" t="s">
        <v>1401</v>
      </c>
    </row>
    <row r="253">
      <c r="A253" s="45"/>
      <c r="B253" s="42">
        <v>45873.0</v>
      </c>
      <c r="C253" s="33" t="s">
        <v>1402</v>
      </c>
      <c r="D253" s="34"/>
      <c r="E253" s="33" t="s">
        <v>25</v>
      </c>
      <c r="F253" s="34"/>
      <c r="G253" s="35" t="s">
        <v>22</v>
      </c>
      <c r="H253" s="33" t="s">
        <v>203</v>
      </c>
      <c r="I253" s="33" t="s">
        <v>95</v>
      </c>
      <c r="J253" s="45"/>
      <c r="K253" s="33" t="s">
        <v>25</v>
      </c>
    </row>
    <row r="254">
      <c r="A254" s="45"/>
      <c r="B254" s="42">
        <v>45874.0</v>
      </c>
      <c r="C254" s="33" t="s">
        <v>1403</v>
      </c>
      <c r="D254" s="35" t="s">
        <v>1404</v>
      </c>
      <c r="E254" s="33" t="s">
        <v>1405</v>
      </c>
      <c r="F254" s="34"/>
      <c r="G254" s="35" t="s">
        <v>55</v>
      </c>
      <c r="H254" s="33" t="s">
        <v>1406</v>
      </c>
      <c r="I254" s="33" t="s">
        <v>400</v>
      </c>
      <c r="J254" s="33" t="s">
        <v>1407</v>
      </c>
    </row>
    <row r="255">
      <c r="A255" s="45"/>
      <c r="B255" s="42">
        <v>45874.0</v>
      </c>
      <c r="C255" s="33" t="s">
        <v>1408</v>
      </c>
      <c r="D255" s="34"/>
      <c r="E255" s="33" t="s">
        <v>1409</v>
      </c>
      <c r="F255" s="35" t="s">
        <v>1410</v>
      </c>
      <c r="G255" s="35" t="s">
        <v>22</v>
      </c>
      <c r="H255" s="33" t="s">
        <v>1411</v>
      </c>
      <c r="I255" s="33" t="s">
        <v>400</v>
      </c>
      <c r="J255" s="218" t="s">
        <v>1412</v>
      </c>
      <c r="K255" s="25"/>
    </row>
    <row r="256">
      <c r="A256" s="45"/>
      <c r="B256" s="42">
        <v>45874.0</v>
      </c>
      <c r="C256" s="33" t="s">
        <v>326</v>
      </c>
      <c r="D256" s="34"/>
      <c r="E256" s="33" t="s">
        <v>1413</v>
      </c>
      <c r="F256" s="34"/>
      <c r="G256" s="35" t="s">
        <v>22</v>
      </c>
      <c r="H256" s="33" t="s">
        <v>1414</v>
      </c>
      <c r="I256" s="33" t="s">
        <v>400</v>
      </c>
      <c r="J256" s="33" t="s">
        <v>1279</v>
      </c>
    </row>
    <row r="257">
      <c r="A257" s="45"/>
      <c r="B257" s="42">
        <v>45875.0</v>
      </c>
      <c r="C257" s="33" t="s">
        <v>1415</v>
      </c>
      <c r="D257" s="34"/>
      <c r="E257" s="33" t="s">
        <v>1416</v>
      </c>
      <c r="F257" s="34"/>
      <c r="G257" s="35" t="s">
        <v>22</v>
      </c>
      <c r="H257" s="33" t="s">
        <v>1417</v>
      </c>
      <c r="I257" s="33" t="s">
        <v>206</v>
      </c>
      <c r="J257" s="33" t="s">
        <v>1418</v>
      </c>
    </row>
    <row r="258">
      <c r="A258" s="45"/>
      <c r="B258" s="42">
        <v>45875.0</v>
      </c>
      <c r="C258" s="33" t="s">
        <v>1419</v>
      </c>
      <c r="D258" s="34"/>
      <c r="E258" s="33" t="s">
        <v>1142</v>
      </c>
      <c r="F258" s="35" t="s">
        <v>1420</v>
      </c>
      <c r="G258" s="35" t="s">
        <v>22</v>
      </c>
      <c r="H258" s="33" t="s">
        <v>1421</v>
      </c>
      <c r="I258" s="33" t="s">
        <v>206</v>
      </c>
      <c r="J258" s="33" t="s">
        <v>1418</v>
      </c>
    </row>
    <row r="259">
      <c r="A259" s="45"/>
      <c r="B259" s="42">
        <v>45875.0</v>
      </c>
      <c r="C259" s="33" t="s">
        <v>40</v>
      </c>
      <c r="D259" s="34"/>
      <c r="E259" s="33" t="s">
        <v>1422</v>
      </c>
      <c r="F259" s="34"/>
      <c r="G259" s="35" t="s">
        <v>22</v>
      </c>
      <c r="H259" s="33" t="s">
        <v>1378</v>
      </c>
      <c r="I259" s="33" t="s">
        <v>400</v>
      </c>
      <c r="J259" s="33" t="s">
        <v>1418</v>
      </c>
    </row>
    <row r="260">
      <c r="A260" s="45"/>
      <c r="B260" s="42">
        <v>45875.0</v>
      </c>
      <c r="C260" s="33" t="s">
        <v>1419</v>
      </c>
      <c r="D260" s="34"/>
      <c r="E260" s="33" t="s">
        <v>1423</v>
      </c>
      <c r="F260" s="34"/>
      <c r="G260" s="35" t="s">
        <v>1424</v>
      </c>
      <c r="H260" s="33" t="s">
        <v>148</v>
      </c>
      <c r="I260" s="33" t="s">
        <v>206</v>
      </c>
      <c r="J260" s="33" t="s">
        <v>813</v>
      </c>
    </row>
    <row r="261">
      <c r="A261" s="45"/>
      <c r="B261" s="42">
        <v>45875.0</v>
      </c>
      <c r="C261" s="33" t="s">
        <v>65</v>
      </c>
      <c r="D261" s="34"/>
      <c r="E261" s="33" t="s">
        <v>257</v>
      </c>
      <c r="F261" s="34"/>
      <c r="G261" s="34"/>
      <c r="H261" s="45"/>
      <c r="I261" s="45"/>
      <c r="J261" s="33" t="s">
        <v>1425</v>
      </c>
    </row>
    <row r="262">
      <c r="A262" s="58"/>
      <c r="B262" s="178">
        <v>45875.0</v>
      </c>
      <c r="C262" s="60" t="s">
        <v>40</v>
      </c>
      <c r="D262" s="61"/>
      <c r="E262" s="60" t="s">
        <v>1336</v>
      </c>
      <c r="F262" s="61"/>
      <c r="G262" s="62" t="s">
        <v>22</v>
      </c>
      <c r="H262" s="60" t="s">
        <v>1426</v>
      </c>
      <c r="I262" s="60" t="s">
        <v>400</v>
      </c>
      <c r="J262" s="60" t="s">
        <v>1427</v>
      </c>
      <c r="K262" s="60" t="s">
        <v>24</v>
      </c>
    </row>
    <row r="263">
      <c r="A263" s="45"/>
      <c r="B263" s="69">
        <v>45876.0</v>
      </c>
      <c r="C263" s="33" t="s">
        <v>1428</v>
      </c>
      <c r="D263" s="34"/>
      <c r="E263" s="33" t="s">
        <v>29</v>
      </c>
      <c r="F263" s="34"/>
      <c r="G263" s="35" t="s">
        <v>22</v>
      </c>
      <c r="H263" s="33" t="s">
        <v>1429</v>
      </c>
      <c r="I263" s="33" t="s">
        <v>206</v>
      </c>
      <c r="J263" s="33" t="s">
        <v>1425</v>
      </c>
    </row>
    <row r="264">
      <c r="A264" s="45"/>
      <c r="B264" s="69">
        <v>45876.0</v>
      </c>
      <c r="C264" s="33" t="s">
        <v>149</v>
      </c>
      <c r="D264" s="34"/>
      <c r="E264" s="33" t="s">
        <v>149</v>
      </c>
      <c r="F264" s="35" t="s">
        <v>1430</v>
      </c>
      <c r="G264" s="35" t="s">
        <v>22</v>
      </c>
      <c r="H264" s="33" t="s">
        <v>148</v>
      </c>
      <c r="I264" s="33" t="s">
        <v>206</v>
      </c>
      <c r="J264" s="218" t="s">
        <v>1431</v>
      </c>
      <c r="K264" s="25"/>
    </row>
    <row r="265">
      <c r="A265" s="45"/>
      <c r="B265" s="69">
        <v>45876.0</v>
      </c>
      <c r="C265" s="33" t="s">
        <v>95</v>
      </c>
      <c r="D265" s="34"/>
      <c r="E265" s="33" t="s">
        <v>1432</v>
      </c>
      <c r="F265" s="34"/>
      <c r="G265" s="35" t="s">
        <v>22</v>
      </c>
      <c r="H265" s="33" t="s">
        <v>1433</v>
      </c>
      <c r="I265" s="33" t="s">
        <v>206</v>
      </c>
      <c r="J265" s="33" t="s">
        <v>1434</v>
      </c>
    </row>
    <row r="266">
      <c r="A266" s="45"/>
      <c r="B266" s="69">
        <v>45877.0</v>
      </c>
      <c r="C266" s="33" t="s">
        <v>1435</v>
      </c>
      <c r="D266" s="34"/>
      <c r="E266" s="33" t="s">
        <v>1436</v>
      </c>
      <c r="F266" s="34"/>
      <c r="G266" s="35" t="s">
        <v>22</v>
      </c>
      <c r="H266" s="33" t="s">
        <v>1437</v>
      </c>
      <c r="I266" s="33" t="s">
        <v>48</v>
      </c>
      <c r="J266" s="33" t="s">
        <v>1431</v>
      </c>
    </row>
    <row r="267">
      <c r="A267" s="45"/>
      <c r="B267" s="69">
        <v>45877.0</v>
      </c>
      <c r="C267" s="33" t="s">
        <v>1438</v>
      </c>
      <c r="D267" s="35"/>
      <c r="E267" s="33" t="s">
        <v>1439</v>
      </c>
      <c r="F267" s="34"/>
      <c r="G267" s="35" t="s">
        <v>85</v>
      </c>
      <c r="H267" s="33" t="s">
        <v>1440</v>
      </c>
      <c r="I267" s="33" t="s">
        <v>48</v>
      </c>
      <c r="J267" s="33" t="s">
        <v>1441</v>
      </c>
    </row>
    <row r="268">
      <c r="A268" s="45"/>
      <c r="B268" s="69">
        <v>45877.0</v>
      </c>
      <c r="C268" s="33" t="s">
        <v>1435</v>
      </c>
      <c r="D268" s="34"/>
      <c r="E268" s="33" t="s">
        <v>1442</v>
      </c>
      <c r="F268" s="35"/>
      <c r="G268" s="35" t="s">
        <v>85</v>
      </c>
      <c r="H268" s="33" t="s">
        <v>1443</v>
      </c>
      <c r="I268" s="33" t="s">
        <v>48</v>
      </c>
      <c r="J268" s="33" t="s">
        <v>1441</v>
      </c>
    </row>
    <row r="269">
      <c r="A269" s="45"/>
      <c r="B269" s="69">
        <v>45877.0</v>
      </c>
      <c r="C269" s="33" t="s">
        <v>1435</v>
      </c>
      <c r="D269" s="34"/>
      <c r="E269" s="33" t="s">
        <v>1444</v>
      </c>
      <c r="F269" s="35"/>
      <c r="G269" s="35" t="s">
        <v>85</v>
      </c>
      <c r="H269" s="33" t="s">
        <v>1445</v>
      </c>
      <c r="I269" s="33" t="s">
        <v>48</v>
      </c>
      <c r="J269" s="33" t="s">
        <v>1446</v>
      </c>
    </row>
    <row r="270">
      <c r="A270" s="45"/>
      <c r="B270" s="69">
        <v>45877.0</v>
      </c>
      <c r="C270" s="33" t="s">
        <v>1447</v>
      </c>
      <c r="D270" s="34"/>
      <c r="E270" s="33" t="s">
        <v>1448</v>
      </c>
      <c r="F270" s="34"/>
      <c r="G270" s="35" t="s">
        <v>85</v>
      </c>
      <c r="H270" s="33" t="s">
        <v>1449</v>
      </c>
      <c r="I270" s="33" t="s">
        <v>48</v>
      </c>
      <c r="J270" s="33">
        <v>0.0</v>
      </c>
    </row>
    <row r="271">
      <c r="A271" s="45"/>
      <c r="B271" s="69">
        <v>45877.0</v>
      </c>
      <c r="C271" s="33" t="s">
        <v>1408</v>
      </c>
      <c r="D271" s="34"/>
      <c r="E271" s="33" t="s">
        <v>1450</v>
      </c>
      <c r="F271" s="35" t="s">
        <v>1451</v>
      </c>
      <c r="G271" s="35" t="s">
        <v>85</v>
      </c>
      <c r="H271" s="33" t="s">
        <v>1452</v>
      </c>
      <c r="I271" s="33" t="s">
        <v>48</v>
      </c>
      <c r="J271" s="33" t="s">
        <v>1453</v>
      </c>
    </row>
    <row r="272">
      <c r="A272" s="45"/>
      <c r="B272" s="69">
        <v>45877.0</v>
      </c>
      <c r="C272" s="33" t="s">
        <v>8</v>
      </c>
      <c r="D272" s="34"/>
      <c r="E272" s="33" t="s">
        <v>65</v>
      </c>
      <c r="F272" s="34"/>
      <c r="G272" s="35" t="s">
        <v>22</v>
      </c>
      <c r="H272" s="33" t="s">
        <v>1454</v>
      </c>
      <c r="I272" s="33" t="s">
        <v>25</v>
      </c>
      <c r="J272" s="33" t="s">
        <v>1455</v>
      </c>
    </row>
    <row r="273">
      <c r="A273" s="45"/>
      <c r="B273" s="32">
        <v>45880.0</v>
      </c>
      <c r="C273" s="33" t="s">
        <v>146</v>
      </c>
      <c r="D273" s="34"/>
      <c r="E273" s="33" t="s">
        <v>1456</v>
      </c>
      <c r="F273" s="34"/>
      <c r="G273" s="35" t="s">
        <v>22</v>
      </c>
      <c r="H273" s="33" t="s">
        <v>69</v>
      </c>
      <c r="I273" s="33" t="s">
        <v>95</v>
      </c>
      <c r="J273" s="33" t="s">
        <v>1457</v>
      </c>
    </row>
    <row r="274">
      <c r="A274" s="45"/>
      <c r="B274" s="32">
        <v>45880.0</v>
      </c>
      <c r="C274" s="33" t="s">
        <v>65</v>
      </c>
      <c r="D274" s="34"/>
      <c r="E274" s="33" t="s">
        <v>270</v>
      </c>
      <c r="F274" s="34"/>
      <c r="G274" s="35" t="s">
        <v>22</v>
      </c>
      <c r="H274" s="33" t="s">
        <v>110</v>
      </c>
      <c r="I274" s="33" t="s">
        <v>95</v>
      </c>
      <c r="J274" s="33" t="s">
        <v>1458</v>
      </c>
    </row>
    <row r="275">
      <c r="A275" s="58"/>
      <c r="B275" s="100">
        <v>45880.0</v>
      </c>
      <c r="C275" s="60" t="s">
        <v>65</v>
      </c>
      <c r="D275" s="61"/>
      <c r="E275" s="60" t="s">
        <v>849</v>
      </c>
      <c r="F275" s="61"/>
      <c r="G275" s="62" t="s">
        <v>22</v>
      </c>
      <c r="H275" s="60" t="s">
        <v>69</v>
      </c>
      <c r="I275" s="60" t="s">
        <v>95</v>
      </c>
      <c r="J275" s="60" t="s">
        <v>1459</v>
      </c>
    </row>
    <row r="276">
      <c r="A276" s="45"/>
      <c r="B276" s="32">
        <v>45880.0</v>
      </c>
      <c r="C276" s="33" t="s">
        <v>146</v>
      </c>
      <c r="D276" s="34"/>
      <c r="E276" s="33" t="s">
        <v>1460</v>
      </c>
      <c r="F276" s="34"/>
      <c r="G276" s="35" t="s">
        <v>22</v>
      </c>
      <c r="H276" s="33" t="s">
        <v>1461</v>
      </c>
      <c r="I276" s="33" t="s">
        <v>138</v>
      </c>
      <c r="J276" s="33" t="s">
        <v>1453</v>
      </c>
    </row>
    <row r="277">
      <c r="A277" s="45"/>
      <c r="B277" s="32">
        <v>45881.0</v>
      </c>
      <c r="C277" s="33" t="s">
        <v>29</v>
      </c>
      <c r="D277" s="34"/>
      <c r="E277" s="33" t="s">
        <v>1462</v>
      </c>
      <c r="F277" s="34"/>
      <c r="G277" s="35" t="s">
        <v>22</v>
      </c>
      <c r="H277" s="33" t="s">
        <v>1463</v>
      </c>
      <c r="I277" s="33" t="s">
        <v>400</v>
      </c>
      <c r="J277" s="33" t="s">
        <v>1453</v>
      </c>
    </row>
    <row r="278">
      <c r="A278" s="45"/>
      <c r="B278" s="32">
        <v>45881.0</v>
      </c>
      <c r="C278" s="33" t="s">
        <v>65</v>
      </c>
      <c r="D278" s="34"/>
      <c r="E278" s="33" t="s">
        <v>1464</v>
      </c>
      <c r="F278" s="34"/>
      <c r="G278" s="35" t="s">
        <v>22</v>
      </c>
      <c r="H278" s="33" t="s">
        <v>591</v>
      </c>
      <c r="I278" s="33" t="s">
        <v>400</v>
      </c>
      <c r="J278" s="33" t="s">
        <v>1465</v>
      </c>
    </row>
    <row r="279">
      <c r="A279" s="45"/>
      <c r="B279" s="32">
        <v>45881.0</v>
      </c>
      <c r="C279" s="33" t="s">
        <v>1466</v>
      </c>
      <c r="D279" s="35">
        <v>9.79593357E8</v>
      </c>
      <c r="E279" s="33" t="s">
        <v>1467</v>
      </c>
      <c r="F279" s="34"/>
      <c r="G279" s="35" t="s">
        <v>80</v>
      </c>
      <c r="H279" s="33" t="s">
        <v>1468</v>
      </c>
      <c r="I279" s="33" t="s">
        <v>400</v>
      </c>
      <c r="J279" s="33" t="s">
        <v>1469</v>
      </c>
    </row>
    <row r="280">
      <c r="A280" s="45"/>
      <c r="B280" s="32">
        <v>45882.0</v>
      </c>
      <c r="C280" s="33" t="s">
        <v>1114</v>
      </c>
      <c r="D280" s="34"/>
      <c r="E280" s="33" t="s">
        <v>1470</v>
      </c>
      <c r="F280" s="34"/>
      <c r="G280" s="35" t="s">
        <v>22</v>
      </c>
      <c r="H280" s="33" t="s">
        <v>1471</v>
      </c>
      <c r="I280" s="33" t="s">
        <v>24</v>
      </c>
      <c r="J280" s="33" t="s">
        <v>1472</v>
      </c>
    </row>
    <row r="281">
      <c r="A281" s="45"/>
      <c r="B281" s="32">
        <v>45882.0</v>
      </c>
      <c r="C281" s="33" t="s">
        <v>65</v>
      </c>
      <c r="D281" s="34"/>
      <c r="E281" s="33" t="s">
        <v>270</v>
      </c>
      <c r="F281" s="34"/>
      <c r="G281" s="35" t="s">
        <v>22</v>
      </c>
      <c r="H281" s="33" t="s">
        <v>1473</v>
      </c>
      <c r="I281" s="33" t="s">
        <v>24</v>
      </c>
      <c r="J281" s="33" t="s">
        <v>1458</v>
      </c>
    </row>
    <row r="282">
      <c r="A282" s="58"/>
      <c r="B282" s="100">
        <v>45882.0</v>
      </c>
      <c r="C282" s="60" t="s">
        <v>65</v>
      </c>
      <c r="D282" s="61"/>
      <c r="E282" s="60" t="s">
        <v>1474</v>
      </c>
      <c r="F282" s="61"/>
      <c r="G282" s="62" t="s">
        <v>22</v>
      </c>
      <c r="H282" s="60" t="s">
        <v>148</v>
      </c>
      <c r="I282" s="60" t="s">
        <v>24</v>
      </c>
      <c r="J282" s="60" t="s">
        <v>1475</v>
      </c>
    </row>
    <row r="283">
      <c r="A283" s="45"/>
      <c r="B283" s="32">
        <v>45882.0</v>
      </c>
      <c r="C283" s="33" t="s">
        <v>65</v>
      </c>
      <c r="D283" s="34"/>
      <c r="E283" s="33" t="s">
        <v>1191</v>
      </c>
      <c r="F283" s="34"/>
      <c r="G283" s="35" t="s">
        <v>22</v>
      </c>
      <c r="H283" s="33" t="s">
        <v>898</v>
      </c>
      <c r="I283" s="33" t="s">
        <v>24</v>
      </c>
      <c r="J283" s="33" t="s">
        <v>1472</v>
      </c>
    </row>
    <row r="284">
      <c r="B284" s="231">
        <v>45882.0</v>
      </c>
      <c r="C284" s="232" t="s">
        <v>65</v>
      </c>
      <c r="D284" s="233"/>
      <c r="E284" s="232" t="s">
        <v>1476</v>
      </c>
      <c r="F284" s="233"/>
      <c r="G284" s="234" t="s">
        <v>22</v>
      </c>
      <c r="H284" s="232" t="s">
        <v>1477</v>
      </c>
      <c r="I284" s="232" t="s">
        <v>24</v>
      </c>
      <c r="J284" s="232" t="s">
        <v>1478</v>
      </c>
    </row>
    <row r="285">
      <c r="A285" s="58"/>
      <c r="B285" s="100">
        <v>45882.0</v>
      </c>
      <c r="C285" s="60" t="s">
        <v>65</v>
      </c>
      <c r="D285" s="61"/>
      <c r="E285" s="60" t="s">
        <v>1479</v>
      </c>
      <c r="F285" s="61"/>
      <c r="G285" s="62" t="s">
        <v>22</v>
      </c>
      <c r="H285" s="60" t="s">
        <v>148</v>
      </c>
      <c r="I285" s="60" t="s">
        <v>24</v>
      </c>
      <c r="J285" s="60" t="s">
        <v>1459</v>
      </c>
    </row>
    <row r="286">
      <c r="A286" s="45"/>
      <c r="B286" s="32">
        <v>45882.0</v>
      </c>
      <c r="C286" s="33" t="s">
        <v>65</v>
      </c>
      <c r="D286" s="34"/>
      <c r="E286" s="33" t="s">
        <v>1480</v>
      </c>
      <c r="F286" s="34"/>
      <c r="G286" s="35" t="s">
        <v>22</v>
      </c>
      <c r="H286" s="33" t="s">
        <v>148</v>
      </c>
      <c r="I286" s="33" t="s">
        <v>24</v>
      </c>
      <c r="J286" s="33" t="s">
        <v>1472</v>
      </c>
    </row>
    <row r="287">
      <c r="A287" s="58"/>
      <c r="B287" s="100">
        <v>45883.0</v>
      </c>
      <c r="C287" s="60" t="s">
        <v>206</v>
      </c>
      <c r="D287" s="61"/>
      <c r="E287" s="60" t="s">
        <v>1481</v>
      </c>
      <c r="F287" s="62" t="s">
        <v>1482</v>
      </c>
      <c r="G287" s="62" t="s">
        <v>22</v>
      </c>
      <c r="H287" s="60" t="s">
        <v>148</v>
      </c>
      <c r="I287" s="60" t="s">
        <v>206</v>
      </c>
      <c r="J287" s="60" t="s">
        <v>1475</v>
      </c>
    </row>
    <row r="288">
      <c r="A288" s="45"/>
      <c r="B288" s="32">
        <v>45885.0</v>
      </c>
      <c r="C288" s="33" t="s">
        <v>206</v>
      </c>
      <c r="D288" s="34"/>
      <c r="E288" s="33" t="s">
        <v>1483</v>
      </c>
      <c r="F288" s="35" t="s">
        <v>1484</v>
      </c>
      <c r="G288" s="35" t="s">
        <v>22</v>
      </c>
      <c r="H288" s="33" t="s">
        <v>148</v>
      </c>
      <c r="I288" s="33" t="s">
        <v>206</v>
      </c>
      <c r="J288" s="33" t="s">
        <v>1485</v>
      </c>
    </row>
    <row r="289">
      <c r="A289" s="45"/>
      <c r="B289" s="32">
        <v>45887.0</v>
      </c>
      <c r="C289" s="33" t="s">
        <v>1174</v>
      </c>
      <c r="D289" s="34"/>
      <c r="E289" s="33" t="s">
        <v>65</v>
      </c>
      <c r="F289" s="34"/>
      <c r="G289" s="35" t="s">
        <v>22</v>
      </c>
      <c r="H289" s="33" t="s">
        <v>148</v>
      </c>
      <c r="I289" s="33" t="s">
        <v>95</v>
      </c>
      <c r="J289" s="33" t="s">
        <v>1485</v>
      </c>
    </row>
    <row r="290">
      <c r="A290" s="45"/>
      <c r="B290" s="214">
        <v>45887.0</v>
      </c>
      <c r="C290" s="33" t="s">
        <v>1486</v>
      </c>
      <c r="D290" s="34"/>
      <c r="E290" s="33" t="s">
        <v>25</v>
      </c>
      <c r="F290" s="34"/>
      <c r="G290" s="35" t="s">
        <v>22</v>
      </c>
      <c r="H290" s="33" t="s">
        <v>295</v>
      </c>
      <c r="I290" s="33" t="s">
        <v>138</v>
      </c>
      <c r="J290" s="45"/>
      <c r="K290" s="33" t="s">
        <v>25</v>
      </c>
    </row>
    <row r="291">
      <c r="A291" s="45"/>
      <c r="B291" s="32">
        <v>45888.0</v>
      </c>
      <c r="C291" s="33" t="s">
        <v>1386</v>
      </c>
      <c r="D291" s="34"/>
      <c r="E291" s="33" t="s">
        <v>37</v>
      </c>
      <c r="F291" s="35">
        <v>9.9225282E8</v>
      </c>
      <c r="G291" s="35" t="s">
        <v>22</v>
      </c>
      <c r="H291" s="33" t="s">
        <v>295</v>
      </c>
      <c r="I291" s="33" t="s">
        <v>36</v>
      </c>
      <c r="J291" s="33" t="s">
        <v>1453</v>
      </c>
    </row>
    <row r="292">
      <c r="A292" s="58"/>
      <c r="B292" s="100">
        <v>45888.0</v>
      </c>
      <c r="C292" s="60" t="s">
        <v>24</v>
      </c>
      <c r="D292" s="61"/>
      <c r="E292" s="60" t="s">
        <v>1487</v>
      </c>
      <c r="F292" s="61"/>
      <c r="G292" s="62" t="s">
        <v>22</v>
      </c>
      <c r="H292" s="60" t="s">
        <v>1488</v>
      </c>
      <c r="I292" s="60" t="s">
        <v>36</v>
      </c>
      <c r="J292" s="216" t="s">
        <v>1489</v>
      </c>
      <c r="K292" s="25"/>
    </row>
    <row r="293">
      <c r="B293" s="231">
        <v>45889.0</v>
      </c>
      <c r="C293" s="232" t="s">
        <v>321</v>
      </c>
      <c r="D293" s="233"/>
      <c r="E293" s="232" t="s">
        <v>1490</v>
      </c>
      <c r="F293" s="234" t="s">
        <v>1491</v>
      </c>
      <c r="G293" s="234" t="s">
        <v>22</v>
      </c>
      <c r="H293" s="232" t="s">
        <v>47</v>
      </c>
      <c r="I293" s="232" t="s">
        <v>24</v>
      </c>
      <c r="J293" s="232" t="s">
        <v>1492</v>
      </c>
    </row>
    <row r="294">
      <c r="A294" s="45"/>
      <c r="B294" s="32">
        <v>45889.0</v>
      </c>
      <c r="C294" s="33" t="s">
        <v>321</v>
      </c>
      <c r="D294" s="34"/>
      <c r="E294" s="33" t="s">
        <v>938</v>
      </c>
      <c r="F294" s="35" t="s">
        <v>1493</v>
      </c>
      <c r="G294" s="35" t="s">
        <v>22</v>
      </c>
      <c r="H294" s="33" t="s">
        <v>1494</v>
      </c>
      <c r="I294" s="33" t="s">
        <v>24</v>
      </c>
      <c r="J294" s="33" t="s">
        <v>1495</v>
      </c>
    </row>
    <row r="295">
      <c r="A295" s="45"/>
      <c r="B295" s="32">
        <v>45890.0</v>
      </c>
      <c r="C295" s="33" t="s">
        <v>33</v>
      </c>
      <c r="D295" s="34"/>
      <c r="E295" s="33" t="s">
        <v>1496</v>
      </c>
      <c r="F295" s="34"/>
      <c r="G295" s="35" t="s">
        <v>55</v>
      </c>
      <c r="H295" s="33" t="s">
        <v>1497</v>
      </c>
      <c r="I295" s="33" t="s">
        <v>33</v>
      </c>
      <c r="J295" s="45"/>
      <c r="K295" s="45"/>
    </row>
    <row r="296">
      <c r="A296" s="45"/>
      <c r="B296" s="32">
        <v>45890.0</v>
      </c>
      <c r="C296" s="33" t="s">
        <v>1498</v>
      </c>
      <c r="D296" s="34"/>
      <c r="E296" s="33" t="s">
        <v>29</v>
      </c>
      <c r="F296" s="34"/>
      <c r="G296" s="35" t="s">
        <v>55</v>
      </c>
      <c r="H296" s="33" t="s">
        <v>1499</v>
      </c>
      <c r="I296" s="33" t="s">
        <v>33</v>
      </c>
      <c r="J296" s="33" t="s">
        <v>1500</v>
      </c>
    </row>
    <row r="297">
      <c r="A297" s="45"/>
      <c r="B297" s="32">
        <v>45891.0</v>
      </c>
      <c r="C297" s="33" t="s">
        <v>400</v>
      </c>
      <c r="D297" s="34"/>
      <c r="E297" s="33" t="s">
        <v>1501</v>
      </c>
      <c r="F297" s="34"/>
      <c r="G297" s="35" t="s">
        <v>22</v>
      </c>
      <c r="H297" s="33" t="s">
        <v>1502</v>
      </c>
      <c r="I297" s="33" t="s">
        <v>25</v>
      </c>
      <c r="J297" s="218" t="s">
        <v>1503</v>
      </c>
      <c r="K297" s="25"/>
    </row>
    <row r="298">
      <c r="A298" s="45"/>
      <c r="B298" s="32">
        <v>45895.0</v>
      </c>
      <c r="C298" s="33" t="s">
        <v>8</v>
      </c>
      <c r="D298" s="34"/>
      <c r="E298" s="33" t="s">
        <v>1504</v>
      </c>
      <c r="F298" s="35" t="s">
        <v>1505</v>
      </c>
      <c r="G298" s="35" t="s">
        <v>22</v>
      </c>
      <c r="H298" s="33" t="s">
        <v>1506</v>
      </c>
      <c r="I298" s="33" t="s">
        <v>400</v>
      </c>
      <c r="J298" s="33" t="s">
        <v>1507</v>
      </c>
      <c r="K298" s="33" t="s">
        <v>33</v>
      </c>
    </row>
    <row r="299">
      <c r="A299" s="45"/>
      <c r="B299" s="32">
        <v>45895.0</v>
      </c>
      <c r="C299" s="33" t="s">
        <v>8</v>
      </c>
      <c r="D299" s="34"/>
      <c r="E299" s="33" t="s">
        <v>1508</v>
      </c>
      <c r="F299" s="35" t="s">
        <v>1509</v>
      </c>
      <c r="G299" s="35" t="s">
        <v>22</v>
      </c>
      <c r="H299" s="33" t="s">
        <v>1506</v>
      </c>
      <c r="I299" s="33" t="s">
        <v>400</v>
      </c>
      <c r="J299" s="33" t="s">
        <v>1510</v>
      </c>
      <c r="K299" s="33" t="s">
        <v>33</v>
      </c>
    </row>
    <row r="300">
      <c r="A300" s="45"/>
      <c r="B300" s="32">
        <v>45895.0</v>
      </c>
      <c r="C300" s="33" t="s">
        <v>8</v>
      </c>
      <c r="D300" s="34"/>
      <c r="E300" s="33" t="s">
        <v>1511</v>
      </c>
      <c r="F300" s="35" t="s">
        <v>1512</v>
      </c>
      <c r="G300" s="33" t="s">
        <v>22</v>
      </c>
      <c r="H300" s="33" t="s">
        <v>1506</v>
      </c>
      <c r="I300" s="33" t="s">
        <v>400</v>
      </c>
      <c r="J300" s="218" t="s">
        <v>1507</v>
      </c>
      <c r="K300" s="35" t="s">
        <v>33</v>
      </c>
    </row>
    <row r="301">
      <c r="A301" s="45"/>
      <c r="B301" s="32">
        <v>45895.0</v>
      </c>
      <c r="C301" s="33" t="s">
        <v>1513</v>
      </c>
      <c r="D301" s="34"/>
      <c r="E301" s="33" t="s">
        <v>29</v>
      </c>
      <c r="F301" s="34"/>
      <c r="G301" s="33" t="s">
        <v>22</v>
      </c>
      <c r="H301" s="33" t="s">
        <v>1514</v>
      </c>
      <c r="I301" s="33" t="s">
        <v>400</v>
      </c>
      <c r="J301" s="218" t="s">
        <v>1510</v>
      </c>
      <c r="K301" s="35" t="s">
        <v>33</v>
      </c>
    </row>
    <row r="302">
      <c r="A302" s="45"/>
      <c r="B302" s="32">
        <v>45895.0</v>
      </c>
      <c r="C302" s="33" t="s">
        <v>321</v>
      </c>
      <c r="D302" s="34"/>
      <c r="E302" s="33" t="s">
        <v>1515</v>
      </c>
      <c r="F302" s="34"/>
      <c r="G302" s="33" t="s">
        <v>22</v>
      </c>
      <c r="H302" s="33" t="s">
        <v>1516</v>
      </c>
      <c r="I302" s="33" t="s">
        <v>400</v>
      </c>
      <c r="J302" s="218" t="s">
        <v>1517</v>
      </c>
      <c r="K302" s="35" t="s">
        <v>343</v>
      </c>
    </row>
    <row r="303">
      <c r="A303" s="45"/>
      <c r="B303" s="32">
        <v>45895.0</v>
      </c>
      <c r="C303" s="33" t="s">
        <v>639</v>
      </c>
      <c r="D303" s="34"/>
      <c r="E303" s="33" t="s">
        <v>1518</v>
      </c>
      <c r="F303" s="35" t="s">
        <v>1519</v>
      </c>
      <c r="G303" s="35" t="s">
        <v>22</v>
      </c>
      <c r="H303" s="33" t="s">
        <v>1520</v>
      </c>
      <c r="I303" s="33" t="s">
        <v>400</v>
      </c>
      <c r="J303" s="218" t="s">
        <v>1489</v>
      </c>
      <c r="K303" s="35" t="s">
        <v>343</v>
      </c>
    </row>
    <row r="304">
      <c r="A304" s="45"/>
      <c r="B304" s="32">
        <v>45895.0</v>
      </c>
      <c r="C304" s="33" t="s">
        <v>29</v>
      </c>
      <c r="D304" s="34"/>
      <c r="E304" s="33" t="s">
        <v>1372</v>
      </c>
      <c r="F304" s="34"/>
      <c r="G304" s="35" t="s">
        <v>22</v>
      </c>
      <c r="H304" s="33" t="s">
        <v>1521</v>
      </c>
      <c r="I304" s="33" t="s">
        <v>400</v>
      </c>
      <c r="J304" s="218" t="s">
        <v>1489</v>
      </c>
      <c r="K304" s="35" t="s">
        <v>343</v>
      </c>
    </row>
    <row r="305">
      <c r="A305" s="45"/>
      <c r="B305" s="32">
        <v>45896.0</v>
      </c>
      <c r="C305" s="33" t="s">
        <v>309</v>
      </c>
      <c r="D305" s="34"/>
      <c r="E305" s="33" t="s">
        <v>1522</v>
      </c>
      <c r="F305" s="34"/>
      <c r="G305" s="35" t="s">
        <v>22</v>
      </c>
      <c r="H305" s="33" t="s">
        <v>1523</v>
      </c>
      <c r="I305" s="33" t="s">
        <v>24</v>
      </c>
      <c r="J305" s="218" t="s">
        <v>1524</v>
      </c>
      <c r="K305" s="35" t="s">
        <v>1251</v>
      </c>
    </row>
    <row r="306">
      <c r="A306" s="45"/>
      <c r="B306" s="32">
        <v>45897.0</v>
      </c>
      <c r="C306" s="33" t="s">
        <v>206</v>
      </c>
      <c r="D306" s="34"/>
      <c r="E306" s="33" t="s">
        <v>944</v>
      </c>
      <c r="F306" s="35" t="s">
        <v>1525</v>
      </c>
      <c r="G306" s="35" t="s">
        <v>22</v>
      </c>
      <c r="H306" s="33" t="s">
        <v>144</v>
      </c>
      <c r="I306" s="33" t="s">
        <v>206</v>
      </c>
      <c r="J306" s="218" t="s">
        <v>1526</v>
      </c>
      <c r="K306" s="35" t="s">
        <v>36</v>
      </c>
    </row>
    <row r="307">
      <c r="A307" s="45"/>
      <c r="B307" s="32">
        <v>45897.0</v>
      </c>
      <c r="C307" s="33" t="s">
        <v>197</v>
      </c>
      <c r="D307" s="34"/>
      <c r="E307" s="33" t="s">
        <v>1527</v>
      </c>
      <c r="F307" s="35" t="s">
        <v>1528</v>
      </c>
      <c r="G307" s="35" t="s">
        <v>22</v>
      </c>
      <c r="H307" s="33" t="s">
        <v>1529</v>
      </c>
      <c r="I307" s="33" t="s">
        <v>206</v>
      </c>
      <c r="J307" s="218" t="s">
        <v>1530</v>
      </c>
      <c r="K307" s="35" t="s">
        <v>33</v>
      </c>
    </row>
    <row r="308">
      <c r="A308" s="45"/>
      <c r="B308" s="32">
        <v>45897.0</v>
      </c>
      <c r="C308" s="33" t="s">
        <v>1286</v>
      </c>
      <c r="D308" s="34"/>
      <c r="E308" s="33" t="s">
        <v>277</v>
      </c>
      <c r="F308" s="34"/>
      <c r="G308" s="35" t="s">
        <v>27</v>
      </c>
      <c r="H308" s="33" t="s">
        <v>1531</v>
      </c>
      <c r="I308" s="33" t="s">
        <v>206</v>
      </c>
      <c r="J308" s="218" t="s">
        <v>1526</v>
      </c>
      <c r="K308" s="35" t="s">
        <v>36</v>
      </c>
    </row>
    <row r="309">
      <c r="A309" s="45"/>
      <c r="B309" s="44" t="s">
        <v>1532</v>
      </c>
      <c r="C309" s="33" t="s">
        <v>1533</v>
      </c>
      <c r="D309" s="35">
        <v>9.47840024E8</v>
      </c>
      <c r="E309" s="33" t="s">
        <v>29</v>
      </c>
      <c r="F309" s="34"/>
      <c r="G309" s="35" t="s">
        <v>22</v>
      </c>
      <c r="H309" s="33" t="s">
        <v>1254</v>
      </c>
      <c r="I309" s="33" t="s">
        <v>95</v>
      </c>
      <c r="J309" s="218" t="s">
        <v>1534</v>
      </c>
      <c r="K309" s="35" t="s">
        <v>1251</v>
      </c>
    </row>
    <row r="310">
      <c r="A310" s="45"/>
      <c r="B310" s="44" t="s">
        <v>1532</v>
      </c>
      <c r="C310" s="33" t="s">
        <v>1535</v>
      </c>
      <c r="D310" s="34"/>
      <c r="E310" s="33" t="s">
        <v>1536</v>
      </c>
      <c r="F310" s="34"/>
      <c r="G310" s="35" t="s">
        <v>22</v>
      </c>
      <c r="H310" s="33" t="s">
        <v>1254</v>
      </c>
      <c r="I310" s="33" t="s">
        <v>95</v>
      </c>
      <c r="J310" s="219"/>
      <c r="K310" s="34"/>
    </row>
    <row r="311">
      <c r="A311" s="45"/>
      <c r="B311" s="44" t="s">
        <v>1532</v>
      </c>
      <c r="C311" s="33" t="s">
        <v>1537</v>
      </c>
      <c r="D311" s="35">
        <v>9.78171192E8</v>
      </c>
      <c r="E311" s="33" t="s">
        <v>1538</v>
      </c>
      <c r="F311" s="34"/>
      <c r="G311" s="35" t="s">
        <v>22</v>
      </c>
      <c r="H311" s="33" t="s">
        <v>1539</v>
      </c>
      <c r="I311" s="33" t="s">
        <v>95</v>
      </c>
      <c r="J311" s="218" t="s">
        <v>1540</v>
      </c>
      <c r="K311" s="35" t="s">
        <v>33</v>
      </c>
    </row>
    <row r="312">
      <c r="A312" s="45"/>
      <c r="B312" s="44" t="s">
        <v>1532</v>
      </c>
      <c r="C312" s="33" t="s">
        <v>827</v>
      </c>
      <c r="D312" s="35">
        <v>9827707.0</v>
      </c>
      <c r="E312" s="33" t="s">
        <v>1541</v>
      </c>
      <c r="F312" s="34"/>
      <c r="G312" s="35" t="s">
        <v>22</v>
      </c>
      <c r="H312" s="33" t="s">
        <v>1542</v>
      </c>
      <c r="I312" s="33" t="s">
        <v>95</v>
      </c>
      <c r="J312" s="218" t="s">
        <v>1534</v>
      </c>
      <c r="K312" s="35" t="s">
        <v>1251</v>
      </c>
    </row>
    <row r="313">
      <c r="A313" s="86"/>
      <c r="B313" s="235" t="s">
        <v>1532</v>
      </c>
      <c r="C313" s="86" t="s">
        <v>146</v>
      </c>
      <c r="D313" s="89"/>
      <c r="E313" s="86" t="s">
        <v>1543</v>
      </c>
      <c r="F313" s="89"/>
      <c r="G313" s="89" t="s">
        <v>22</v>
      </c>
      <c r="H313" s="86"/>
      <c r="I313" s="86" t="s">
        <v>1544</v>
      </c>
      <c r="J313" s="236" t="s">
        <v>95</v>
      </c>
      <c r="K313" s="237">
        <v>45975.0</v>
      </c>
      <c r="L313" s="86" t="s">
        <v>24</v>
      </c>
    </row>
    <row r="314">
      <c r="A314" s="45"/>
      <c r="B314" s="44" t="s">
        <v>1545</v>
      </c>
      <c r="C314" s="33" t="s">
        <v>29</v>
      </c>
      <c r="D314" s="34"/>
      <c r="E314" s="33" t="s">
        <v>1546</v>
      </c>
      <c r="F314" s="34"/>
      <c r="G314" s="35" t="s">
        <v>22</v>
      </c>
      <c r="H314" s="33" t="s">
        <v>1547</v>
      </c>
      <c r="I314" s="33" t="s">
        <v>33</v>
      </c>
      <c r="J314" s="218" t="s">
        <v>1548</v>
      </c>
      <c r="K314" s="33" t="s">
        <v>33</v>
      </c>
    </row>
    <row r="315">
      <c r="A315" s="45"/>
      <c r="B315" s="44" t="s">
        <v>1545</v>
      </c>
      <c r="C315" s="33" t="s">
        <v>40</v>
      </c>
      <c r="D315" s="34"/>
      <c r="E315" s="33" t="s">
        <v>1549</v>
      </c>
      <c r="F315" s="34"/>
      <c r="G315" s="35" t="s">
        <v>22</v>
      </c>
      <c r="H315" s="33" t="s">
        <v>286</v>
      </c>
      <c r="I315" s="33" t="s">
        <v>33</v>
      </c>
      <c r="J315" s="218" t="s">
        <v>1550</v>
      </c>
      <c r="K315" s="33" t="s">
        <v>418</v>
      </c>
    </row>
    <row r="316">
      <c r="A316" s="45"/>
      <c r="B316" s="44" t="s">
        <v>1545</v>
      </c>
      <c r="C316" s="33" t="s">
        <v>40</v>
      </c>
      <c r="D316" s="34"/>
      <c r="E316" s="33" t="s">
        <v>1551</v>
      </c>
      <c r="F316" s="34"/>
      <c r="G316" s="35" t="s">
        <v>22</v>
      </c>
      <c r="H316" s="33" t="s">
        <v>286</v>
      </c>
      <c r="I316" s="33" t="s">
        <v>33</v>
      </c>
      <c r="J316" s="218" t="s">
        <v>1550</v>
      </c>
      <c r="K316" s="33" t="s">
        <v>206</v>
      </c>
    </row>
    <row r="317">
      <c r="B317" s="44" t="s">
        <v>1545</v>
      </c>
      <c r="C317" s="33" t="s">
        <v>75</v>
      </c>
      <c r="D317" s="34"/>
      <c r="E317" s="33" t="s">
        <v>1552</v>
      </c>
      <c r="F317" s="34"/>
      <c r="G317" s="35" t="s">
        <v>1553</v>
      </c>
      <c r="H317" s="33" t="s">
        <v>1554</v>
      </c>
      <c r="I317" s="33" t="s">
        <v>33</v>
      </c>
      <c r="J317" s="218" t="s">
        <v>1555</v>
      </c>
      <c r="K317" s="33" t="s">
        <v>418</v>
      </c>
    </row>
    <row r="318">
      <c r="A318" s="45"/>
      <c r="B318" s="44" t="s">
        <v>1545</v>
      </c>
      <c r="C318" s="33" t="s">
        <v>75</v>
      </c>
      <c r="D318" s="34"/>
      <c r="E318" s="33" t="s">
        <v>863</v>
      </c>
      <c r="F318" s="35" t="s">
        <v>864</v>
      </c>
      <c r="G318" s="35" t="s">
        <v>22</v>
      </c>
      <c r="H318" s="33" t="s">
        <v>591</v>
      </c>
      <c r="I318" s="33" t="s">
        <v>33</v>
      </c>
      <c r="J318" s="218" t="s">
        <v>1556</v>
      </c>
      <c r="K318" s="33" t="s">
        <v>130</v>
      </c>
    </row>
    <row r="319">
      <c r="A319" s="45"/>
      <c r="B319" s="44" t="s">
        <v>1545</v>
      </c>
      <c r="C319" s="33" t="s">
        <v>75</v>
      </c>
      <c r="D319" s="34"/>
      <c r="E319" s="33" t="s">
        <v>1288</v>
      </c>
      <c r="F319" s="34"/>
      <c r="G319" s="35" t="s">
        <v>22</v>
      </c>
      <c r="H319" s="33" t="s">
        <v>1557</v>
      </c>
      <c r="I319" s="33" t="s">
        <v>33</v>
      </c>
      <c r="J319" s="219"/>
    </row>
    <row r="320">
      <c r="A320" s="45"/>
      <c r="B320" s="44" t="s">
        <v>1545</v>
      </c>
      <c r="C320" s="33" t="s">
        <v>75</v>
      </c>
      <c r="D320" s="34"/>
      <c r="E320" s="33" t="s">
        <v>1558</v>
      </c>
      <c r="F320" s="35"/>
      <c r="G320" s="35" t="s">
        <v>1241</v>
      </c>
      <c r="H320" s="33" t="s">
        <v>591</v>
      </c>
      <c r="I320" s="33" t="s">
        <v>33</v>
      </c>
      <c r="J320" s="218" t="s">
        <v>1540</v>
      </c>
      <c r="K320" s="33" t="s">
        <v>33</v>
      </c>
    </row>
    <row r="321">
      <c r="A321" s="45"/>
      <c r="B321" s="44" t="s">
        <v>1545</v>
      </c>
      <c r="C321" s="33" t="s">
        <v>33</v>
      </c>
      <c r="D321" s="34"/>
      <c r="E321" s="33" t="s">
        <v>1559</v>
      </c>
      <c r="F321" s="34"/>
      <c r="G321" s="35" t="s">
        <v>22</v>
      </c>
      <c r="H321" s="33" t="s">
        <v>1560</v>
      </c>
      <c r="I321" s="33" t="s">
        <v>33</v>
      </c>
      <c r="J321" s="45"/>
      <c r="K321" s="219"/>
      <c r="L321" s="25"/>
    </row>
    <row r="322">
      <c r="A322" s="45"/>
      <c r="B322" s="44" t="s">
        <v>1561</v>
      </c>
      <c r="C322" s="33" t="s">
        <v>835</v>
      </c>
      <c r="D322" s="34"/>
      <c r="E322" s="33" t="s">
        <v>1562</v>
      </c>
      <c r="F322" s="34"/>
      <c r="G322" s="35" t="s">
        <v>22</v>
      </c>
      <c r="H322" s="33" t="s">
        <v>1563</v>
      </c>
      <c r="I322" s="33" t="s">
        <v>33</v>
      </c>
      <c r="J322" s="218" t="s">
        <v>1548</v>
      </c>
      <c r="K322" s="35" t="s">
        <v>33</v>
      </c>
    </row>
    <row r="323">
      <c r="A323" s="45"/>
      <c r="B323" s="44" t="s">
        <v>1561</v>
      </c>
      <c r="C323" s="33" t="s">
        <v>1564</v>
      </c>
      <c r="D323" s="35">
        <v>9.74983368E8</v>
      </c>
      <c r="E323" s="33" t="s">
        <v>29</v>
      </c>
      <c r="F323" s="34"/>
      <c r="G323" s="35" t="s">
        <v>22</v>
      </c>
      <c r="H323" s="33" t="s">
        <v>1565</v>
      </c>
      <c r="I323" s="33" t="s">
        <v>33</v>
      </c>
      <c r="J323" s="218" t="s">
        <v>1548</v>
      </c>
      <c r="K323" s="35" t="s">
        <v>33</v>
      </c>
    </row>
    <row r="324">
      <c r="A324" s="45"/>
      <c r="B324" s="44" t="s">
        <v>1566</v>
      </c>
      <c r="C324" s="33" t="s">
        <v>359</v>
      </c>
      <c r="D324" s="34"/>
      <c r="E324" s="33" t="s">
        <v>1567</v>
      </c>
      <c r="F324" s="35" t="s">
        <v>1568</v>
      </c>
      <c r="G324" s="35" t="s">
        <v>22</v>
      </c>
      <c r="H324" s="33" t="s">
        <v>1378</v>
      </c>
      <c r="I324" s="33" t="s">
        <v>33</v>
      </c>
      <c r="J324" s="33" t="s">
        <v>1569</v>
      </c>
      <c r="K324" s="218" t="s">
        <v>206</v>
      </c>
      <c r="L324" s="25"/>
    </row>
    <row r="325">
      <c r="A325" s="45"/>
      <c r="B325" s="69">
        <v>45904.0</v>
      </c>
      <c r="C325" s="33" t="s">
        <v>36</v>
      </c>
      <c r="D325" s="34"/>
      <c r="E325" s="33" t="s">
        <v>1270</v>
      </c>
      <c r="F325" s="35" t="s">
        <v>1570</v>
      </c>
      <c r="G325" s="35" t="s">
        <v>22</v>
      </c>
      <c r="H325" s="33" t="s">
        <v>148</v>
      </c>
      <c r="I325" s="33" t="s">
        <v>206</v>
      </c>
      <c r="J325" s="218" t="s">
        <v>1571</v>
      </c>
      <c r="K325" s="35" t="s">
        <v>206</v>
      </c>
    </row>
    <row r="326">
      <c r="A326" s="45"/>
      <c r="B326" s="69">
        <v>45904.0</v>
      </c>
      <c r="C326" s="33" t="s">
        <v>36</v>
      </c>
      <c r="D326" s="34"/>
      <c r="E326" s="33" t="s">
        <v>1572</v>
      </c>
      <c r="F326" s="35" t="s">
        <v>1573</v>
      </c>
      <c r="G326" s="35" t="s">
        <v>1574</v>
      </c>
      <c r="H326" s="33"/>
      <c r="I326" s="33" t="s">
        <v>148</v>
      </c>
      <c r="J326" s="33" t="s">
        <v>206</v>
      </c>
      <c r="K326" s="218" t="s">
        <v>1575</v>
      </c>
      <c r="L326" s="35" t="s">
        <v>1576</v>
      </c>
    </row>
    <row r="327">
      <c r="A327" s="45"/>
      <c r="B327" s="69">
        <v>45904.0</v>
      </c>
      <c r="C327" s="33" t="s">
        <v>44</v>
      </c>
      <c r="D327" s="34"/>
      <c r="E327" s="33" t="s">
        <v>1577</v>
      </c>
      <c r="F327" s="34"/>
      <c r="G327" s="35" t="s">
        <v>22</v>
      </c>
      <c r="H327" s="33" t="s">
        <v>1578</v>
      </c>
      <c r="I327" s="33" t="s">
        <v>206</v>
      </c>
      <c r="J327" s="218" t="s">
        <v>1579</v>
      </c>
      <c r="K327" s="35" t="s">
        <v>95</v>
      </c>
    </row>
    <row r="328">
      <c r="A328" s="45"/>
      <c r="B328" s="44" t="s">
        <v>1580</v>
      </c>
      <c r="C328" s="33" t="s">
        <v>1581</v>
      </c>
      <c r="D328" s="34"/>
      <c r="E328" s="33" t="s">
        <v>146</v>
      </c>
      <c r="F328" s="34"/>
      <c r="G328" s="35" t="s">
        <v>22</v>
      </c>
      <c r="H328" s="33" t="s">
        <v>1363</v>
      </c>
      <c r="I328" s="33" t="s">
        <v>25</v>
      </c>
      <c r="J328" s="33" t="s">
        <v>1571</v>
      </c>
      <c r="K328" s="218" t="s">
        <v>25</v>
      </c>
      <c r="L328" s="25"/>
    </row>
    <row r="329">
      <c r="A329" s="45"/>
      <c r="B329" s="44" t="s">
        <v>1580</v>
      </c>
      <c r="C329" s="33" t="s">
        <v>25</v>
      </c>
      <c r="D329" s="34"/>
      <c r="E329" s="33" t="s">
        <v>1582</v>
      </c>
      <c r="F329" s="34"/>
      <c r="G329" s="35" t="s">
        <v>22</v>
      </c>
      <c r="H329" s="33" t="s">
        <v>1583</v>
      </c>
      <c r="I329" s="33" t="s">
        <v>25</v>
      </c>
      <c r="J329" s="45"/>
      <c r="K329" s="219"/>
      <c r="L329" s="25"/>
    </row>
    <row r="330">
      <c r="A330" s="58"/>
      <c r="B330" s="217" t="s">
        <v>1580</v>
      </c>
      <c r="C330" s="60" t="s">
        <v>24</v>
      </c>
      <c r="D330" s="61"/>
      <c r="E330" s="60" t="s">
        <v>1584</v>
      </c>
      <c r="F330" s="62" t="s">
        <v>1585</v>
      </c>
      <c r="G330" s="62" t="s">
        <v>22</v>
      </c>
      <c r="H330" s="60" t="s">
        <v>1586</v>
      </c>
      <c r="I330" s="60" t="s">
        <v>25</v>
      </c>
      <c r="J330" s="60" t="s">
        <v>1587</v>
      </c>
      <c r="K330" s="216" t="s">
        <v>24</v>
      </c>
      <c r="L330" s="25"/>
    </row>
    <row r="331">
      <c r="A331" s="45"/>
      <c r="B331" s="44" t="s">
        <v>1588</v>
      </c>
      <c r="C331" s="33" t="s">
        <v>1435</v>
      </c>
      <c r="D331" s="34"/>
      <c r="E331" s="33" t="s">
        <v>1589</v>
      </c>
      <c r="F331" s="34"/>
      <c r="G331" s="35" t="s">
        <v>22</v>
      </c>
      <c r="H331" s="33" t="s">
        <v>1590</v>
      </c>
      <c r="I331" s="33" t="s">
        <v>25</v>
      </c>
      <c r="J331" s="33" t="s">
        <v>1199</v>
      </c>
      <c r="K331" s="218" t="s">
        <v>95</v>
      </c>
      <c r="L331" s="25"/>
    </row>
    <row r="332">
      <c r="A332" s="45"/>
      <c r="B332" s="238"/>
      <c r="C332" s="33" t="s">
        <v>1280</v>
      </c>
      <c r="D332" s="34"/>
      <c r="E332" s="33" t="s">
        <v>44</v>
      </c>
      <c r="F332" s="35" t="s">
        <v>0</v>
      </c>
      <c r="G332" s="34"/>
      <c r="H332" s="33" t="s">
        <v>1591</v>
      </c>
      <c r="I332" s="45"/>
      <c r="J332" s="33" t="s">
        <v>1264</v>
      </c>
      <c r="K332" s="26"/>
      <c r="L332" s="25"/>
    </row>
    <row r="333">
      <c r="A333" s="45"/>
      <c r="B333" s="69">
        <v>45906.0</v>
      </c>
      <c r="C333" s="33" t="s">
        <v>206</v>
      </c>
      <c r="D333" s="34"/>
      <c r="E333" s="33" t="s">
        <v>419</v>
      </c>
      <c r="F333" s="35" t="s">
        <v>1592</v>
      </c>
      <c r="G333" s="35" t="s">
        <v>22</v>
      </c>
      <c r="H333" s="33" t="s">
        <v>1593</v>
      </c>
      <c r="I333" s="33" t="s">
        <v>206</v>
      </c>
      <c r="J333" s="218" t="s">
        <v>1579</v>
      </c>
      <c r="K333" s="35" t="s">
        <v>1594</v>
      </c>
    </row>
    <row r="334">
      <c r="A334" s="58"/>
      <c r="B334" s="156">
        <v>45906.0</v>
      </c>
      <c r="C334" s="60" t="s">
        <v>206</v>
      </c>
      <c r="D334" s="61"/>
      <c r="E334" s="60" t="s">
        <v>1595</v>
      </c>
      <c r="F334" s="62" t="s">
        <v>1596</v>
      </c>
      <c r="G334" s="62" t="s">
        <v>22</v>
      </c>
      <c r="H334" s="60" t="s">
        <v>148</v>
      </c>
      <c r="I334" s="60" t="s">
        <v>206</v>
      </c>
      <c r="J334" s="216" t="s">
        <v>1587</v>
      </c>
      <c r="K334" s="62" t="s">
        <v>24</v>
      </c>
    </row>
    <row r="335">
      <c r="A335" s="45"/>
      <c r="B335" s="69">
        <v>45906.0</v>
      </c>
      <c r="C335" s="33" t="s">
        <v>206</v>
      </c>
      <c r="D335" s="34"/>
      <c r="E335" s="33" t="s">
        <v>1597</v>
      </c>
      <c r="F335" s="34"/>
      <c r="G335" s="35" t="s">
        <v>118</v>
      </c>
      <c r="H335" s="33" t="s">
        <v>1043</v>
      </c>
      <c r="I335" s="33" t="s">
        <v>206</v>
      </c>
      <c r="J335" s="218" t="s">
        <v>1598</v>
      </c>
      <c r="K335" s="35" t="s">
        <v>206</v>
      </c>
    </row>
    <row r="336">
      <c r="A336" s="58"/>
      <c r="B336" s="156">
        <v>45908.0</v>
      </c>
      <c r="C336" s="60" t="s">
        <v>197</v>
      </c>
      <c r="D336" s="61"/>
      <c r="E336" s="60" t="s">
        <v>1599</v>
      </c>
      <c r="F336" s="62" t="s">
        <v>1600</v>
      </c>
      <c r="G336" s="62" t="s">
        <v>1601</v>
      </c>
      <c r="H336" s="60" t="s">
        <v>1602</v>
      </c>
      <c r="I336" s="60" t="s">
        <v>95</v>
      </c>
      <c r="J336" s="216" t="s">
        <v>1427</v>
      </c>
      <c r="K336" s="62" t="s">
        <v>24</v>
      </c>
    </row>
    <row r="337">
      <c r="A337" s="45"/>
      <c r="B337" s="69">
        <v>45908.0</v>
      </c>
      <c r="C337" s="33" t="s">
        <v>197</v>
      </c>
      <c r="D337" s="34"/>
      <c r="E337" s="33" t="s">
        <v>1603</v>
      </c>
      <c r="F337" s="35" t="s">
        <v>1604</v>
      </c>
      <c r="G337" s="35" t="s">
        <v>22</v>
      </c>
      <c r="H337" s="33" t="s">
        <v>1605</v>
      </c>
      <c r="I337" s="33" t="s">
        <v>95</v>
      </c>
      <c r="J337" s="218" t="s">
        <v>1598</v>
      </c>
      <c r="K337" s="35" t="s">
        <v>206</v>
      </c>
    </row>
    <row r="338">
      <c r="A338" s="45"/>
      <c r="B338" s="69">
        <v>45908.0</v>
      </c>
      <c r="C338" s="33" t="s">
        <v>197</v>
      </c>
      <c r="D338" s="34"/>
      <c r="E338" s="33" t="s">
        <v>1606</v>
      </c>
      <c r="F338" s="35" t="s">
        <v>1607</v>
      </c>
      <c r="G338" s="35" t="s">
        <v>22</v>
      </c>
      <c r="H338" s="33" t="s">
        <v>1608</v>
      </c>
      <c r="I338" s="33" t="s">
        <v>95</v>
      </c>
      <c r="J338" s="218" t="s">
        <v>1609</v>
      </c>
      <c r="K338" s="35" t="s">
        <v>95</v>
      </c>
    </row>
    <row r="339">
      <c r="A339" s="45"/>
      <c r="B339" s="69">
        <v>45911.0</v>
      </c>
      <c r="C339" s="33" t="s">
        <v>36</v>
      </c>
      <c r="D339" s="34"/>
      <c r="E339" s="33" t="s">
        <v>1610</v>
      </c>
      <c r="F339" s="35" t="s">
        <v>1611</v>
      </c>
      <c r="G339" s="35" t="s">
        <v>22</v>
      </c>
      <c r="H339" s="33" t="s">
        <v>148</v>
      </c>
      <c r="I339" s="33" t="s">
        <v>36</v>
      </c>
      <c r="J339" s="218" t="s">
        <v>1612</v>
      </c>
      <c r="K339" s="35" t="s">
        <v>95</v>
      </c>
    </row>
    <row r="340">
      <c r="A340" s="45"/>
      <c r="B340" s="69">
        <v>45911.0</v>
      </c>
      <c r="C340" s="33" t="s">
        <v>36</v>
      </c>
      <c r="D340" s="34"/>
      <c r="E340" s="33" t="s">
        <v>377</v>
      </c>
      <c r="F340" s="35" t="s">
        <v>1613</v>
      </c>
      <c r="G340" s="35" t="s">
        <v>22</v>
      </c>
      <c r="H340" s="33" t="s">
        <v>144</v>
      </c>
      <c r="I340" s="33" t="s">
        <v>36</v>
      </c>
      <c r="J340" s="218" t="s">
        <v>1614</v>
      </c>
      <c r="K340" s="35" t="s">
        <v>95</v>
      </c>
    </row>
    <row r="341">
      <c r="A341" s="45"/>
      <c r="B341" s="69">
        <v>45911.0</v>
      </c>
      <c r="C341" s="33" t="s">
        <v>1615</v>
      </c>
      <c r="D341" s="34"/>
      <c r="E341" s="33" t="s">
        <v>140</v>
      </c>
      <c r="F341" s="34"/>
      <c r="G341" s="35" t="s">
        <v>289</v>
      </c>
      <c r="H341" s="33" t="s">
        <v>428</v>
      </c>
      <c r="I341" s="33" t="s">
        <v>206</v>
      </c>
      <c r="J341" s="218" t="s">
        <v>1616</v>
      </c>
      <c r="K341" s="35" t="s">
        <v>130</v>
      </c>
    </row>
    <row r="342">
      <c r="A342" s="45"/>
      <c r="B342" s="69">
        <v>45912.0</v>
      </c>
      <c r="C342" s="33" t="s">
        <v>146</v>
      </c>
      <c r="D342" s="34"/>
      <c r="E342" s="33" t="s">
        <v>1617</v>
      </c>
      <c r="F342" s="34"/>
      <c r="G342" s="35" t="s">
        <v>22</v>
      </c>
      <c r="H342" s="33" t="s">
        <v>69</v>
      </c>
      <c r="I342" s="33" t="s">
        <v>95</v>
      </c>
      <c r="J342" s="218" t="s">
        <v>1618</v>
      </c>
      <c r="K342" s="35" t="s">
        <v>95</v>
      </c>
    </row>
    <row r="343">
      <c r="A343" s="45"/>
      <c r="B343" s="69">
        <v>45913.0</v>
      </c>
      <c r="C343" s="33" t="s">
        <v>552</v>
      </c>
      <c r="D343" s="34"/>
      <c r="E343" s="33" t="s">
        <v>146</v>
      </c>
      <c r="F343" s="34"/>
      <c r="G343" s="35" t="s">
        <v>22</v>
      </c>
      <c r="H343" s="33" t="s">
        <v>1619</v>
      </c>
      <c r="I343" s="33" t="s">
        <v>130</v>
      </c>
      <c r="J343" s="218" t="s">
        <v>1620</v>
      </c>
      <c r="K343" s="35" t="s">
        <v>95</v>
      </c>
    </row>
    <row r="344">
      <c r="A344" s="45"/>
      <c r="B344" s="44" t="s">
        <v>1621</v>
      </c>
      <c r="C344" s="33" t="s">
        <v>206</v>
      </c>
      <c r="D344" s="34"/>
      <c r="E344" s="33" t="s">
        <v>1622</v>
      </c>
      <c r="F344" s="34"/>
      <c r="G344" s="35" t="s">
        <v>1623</v>
      </c>
      <c r="H344" s="33" t="s">
        <v>1624</v>
      </c>
      <c r="I344" s="33" t="s">
        <v>95</v>
      </c>
      <c r="J344" s="218" t="s">
        <v>1625</v>
      </c>
      <c r="K344" s="35" t="s">
        <v>95</v>
      </c>
    </row>
    <row r="345">
      <c r="A345" s="45"/>
      <c r="B345" s="44" t="s">
        <v>1621</v>
      </c>
      <c r="C345" s="33" t="s">
        <v>206</v>
      </c>
      <c r="D345" s="34"/>
      <c r="E345" s="33" t="s">
        <v>1626</v>
      </c>
      <c r="F345" s="34"/>
      <c r="G345" s="35" t="s">
        <v>22</v>
      </c>
      <c r="H345" s="33" t="s">
        <v>1624</v>
      </c>
      <c r="I345" s="33" t="s">
        <v>95</v>
      </c>
      <c r="J345" s="218" t="s">
        <v>1627</v>
      </c>
      <c r="K345" s="35" t="s">
        <v>33</v>
      </c>
    </row>
    <row r="346">
      <c r="A346" s="45"/>
      <c r="B346" s="44" t="s">
        <v>1621</v>
      </c>
      <c r="C346" s="33" t="s">
        <v>206</v>
      </c>
      <c r="D346" s="34"/>
      <c r="E346" s="33" t="s">
        <v>1628</v>
      </c>
      <c r="F346" s="35" t="s">
        <v>1629</v>
      </c>
      <c r="G346" s="35" t="s">
        <v>22</v>
      </c>
      <c r="H346" s="33" t="s">
        <v>1624</v>
      </c>
      <c r="I346" s="33" t="s">
        <v>95</v>
      </c>
      <c r="J346" s="218" t="s">
        <v>1630</v>
      </c>
      <c r="K346" s="35" t="s">
        <v>95</v>
      </c>
    </row>
    <row r="347">
      <c r="A347" s="45"/>
      <c r="B347" s="44" t="s">
        <v>1621</v>
      </c>
      <c r="C347" s="33" t="s">
        <v>206</v>
      </c>
      <c r="D347" s="34"/>
      <c r="E347" s="33" t="s">
        <v>1631</v>
      </c>
      <c r="F347" s="35" t="s">
        <v>1632</v>
      </c>
      <c r="G347" s="35" t="s">
        <v>22</v>
      </c>
      <c r="H347" s="33" t="s">
        <v>1624</v>
      </c>
      <c r="I347" s="33" t="s">
        <v>95</v>
      </c>
      <c r="J347" s="218" t="s">
        <v>1620</v>
      </c>
      <c r="K347" s="35" t="s">
        <v>95</v>
      </c>
    </row>
    <row r="348">
      <c r="A348" s="45"/>
      <c r="B348" s="44" t="s">
        <v>1621</v>
      </c>
      <c r="C348" s="33" t="s">
        <v>206</v>
      </c>
      <c r="D348" s="34"/>
      <c r="E348" s="33" t="s">
        <v>1633</v>
      </c>
      <c r="F348" s="35" t="s">
        <v>1634</v>
      </c>
      <c r="G348" s="35" t="s">
        <v>22</v>
      </c>
      <c r="H348" s="33" t="s">
        <v>1195</v>
      </c>
      <c r="I348" s="33" t="s">
        <v>138</v>
      </c>
      <c r="J348" s="218" t="s">
        <v>1620</v>
      </c>
      <c r="K348" s="35" t="s">
        <v>95</v>
      </c>
    </row>
    <row r="349">
      <c r="A349" s="45"/>
      <c r="B349" s="44" t="s">
        <v>1621</v>
      </c>
      <c r="C349" s="33" t="s">
        <v>1286</v>
      </c>
      <c r="D349" s="34"/>
      <c r="E349" s="33" t="s">
        <v>400</v>
      </c>
      <c r="F349" s="34"/>
      <c r="G349" s="35" t="s">
        <v>22</v>
      </c>
      <c r="H349" s="33" t="s">
        <v>1635</v>
      </c>
      <c r="I349" s="33" t="s">
        <v>95</v>
      </c>
      <c r="J349" s="218" t="s">
        <v>1636</v>
      </c>
      <c r="K349" s="35" t="s">
        <v>400</v>
      </c>
    </row>
    <row r="350">
      <c r="A350" s="45"/>
      <c r="B350" s="44" t="s">
        <v>1621</v>
      </c>
      <c r="C350" s="33" t="s">
        <v>1637</v>
      </c>
      <c r="D350" s="34"/>
      <c r="E350" s="33" t="s">
        <v>206</v>
      </c>
      <c r="F350" s="34"/>
      <c r="G350" s="35" t="s">
        <v>1623</v>
      </c>
      <c r="H350" s="33" t="s">
        <v>1638</v>
      </c>
      <c r="I350" s="33" t="s">
        <v>95</v>
      </c>
      <c r="J350" s="218" t="s">
        <v>1639</v>
      </c>
      <c r="K350" s="33" t="s">
        <v>33</v>
      </c>
    </row>
    <row r="351">
      <c r="A351" s="45"/>
      <c r="B351" s="44" t="s">
        <v>1621</v>
      </c>
      <c r="C351" s="33" t="s">
        <v>1640</v>
      </c>
      <c r="D351" s="35">
        <v>9.75106216E8</v>
      </c>
      <c r="E351" s="33" t="s">
        <v>146</v>
      </c>
      <c r="F351" s="34"/>
      <c r="G351" s="35" t="s">
        <v>22</v>
      </c>
      <c r="H351" s="33" t="s">
        <v>94</v>
      </c>
      <c r="I351" s="33" t="s">
        <v>95</v>
      </c>
      <c r="J351" s="218" t="s">
        <v>1620</v>
      </c>
      <c r="K351" s="33" t="s">
        <v>95</v>
      </c>
    </row>
    <row r="352">
      <c r="A352" s="45"/>
      <c r="B352" s="44" t="s">
        <v>1621</v>
      </c>
      <c r="C352" s="33" t="s">
        <v>65</v>
      </c>
      <c r="D352" s="34"/>
      <c r="E352" s="33" t="s">
        <v>1641</v>
      </c>
      <c r="F352" s="34"/>
      <c r="G352" s="35" t="s">
        <v>22</v>
      </c>
      <c r="H352" s="33" t="s">
        <v>1642</v>
      </c>
      <c r="I352" s="33" t="s">
        <v>95</v>
      </c>
      <c r="J352" s="218" t="s">
        <v>1643</v>
      </c>
      <c r="K352" s="33" t="s">
        <v>95</v>
      </c>
    </row>
    <row r="353">
      <c r="A353" s="110"/>
      <c r="B353" s="222" t="s">
        <v>1644</v>
      </c>
      <c r="C353" s="112" t="s">
        <v>36</v>
      </c>
      <c r="D353" s="114"/>
      <c r="E353" s="112" t="s">
        <v>1645</v>
      </c>
      <c r="F353" s="113" t="s">
        <v>1646</v>
      </c>
      <c r="G353" s="113" t="s">
        <v>22</v>
      </c>
      <c r="H353" s="112" t="s">
        <v>1647</v>
      </c>
      <c r="I353" s="112" t="s">
        <v>33</v>
      </c>
      <c r="J353" s="221" t="s">
        <v>1648</v>
      </c>
      <c r="K353" s="110"/>
    </row>
    <row r="354">
      <c r="A354" s="45"/>
      <c r="B354" s="44" t="s">
        <v>1649</v>
      </c>
      <c r="C354" s="33" t="s">
        <v>1650</v>
      </c>
      <c r="D354" s="35">
        <v>9.52129395E8</v>
      </c>
      <c r="E354" s="33" t="s">
        <v>78</v>
      </c>
      <c r="F354" s="35" t="s">
        <v>1651</v>
      </c>
      <c r="G354" s="35" t="s">
        <v>289</v>
      </c>
      <c r="H354" s="33" t="s">
        <v>1652</v>
      </c>
      <c r="I354" s="33" t="s">
        <v>95</v>
      </c>
      <c r="J354" s="33" t="s">
        <v>1653</v>
      </c>
      <c r="K354" s="218" t="s">
        <v>33</v>
      </c>
      <c r="L354" s="25"/>
    </row>
    <row r="355">
      <c r="A355" s="45"/>
      <c r="B355" s="44" t="s">
        <v>1649</v>
      </c>
      <c r="C355" s="33" t="s">
        <v>1654</v>
      </c>
      <c r="D355" s="35">
        <v>9.90406489E8</v>
      </c>
      <c r="E355" s="33" t="s">
        <v>1655</v>
      </c>
      <c r="F355" s="35" t="s">
        <v>0</v>
      </c>
      <c r="G355" s="35" t="s">
        <v>22</v>
      </c>
      <c r="H355" s="33" t="s">
        <v>1656</v>
      </c>
      <c r="I355" s="33" t="s">
        <v>95</v>
      </c>
      <c r="J355" s="33" t="s">
        <v>1627</v>
      </c>
      <c r="K355" s="218" t="s">
        <v>33</v>
      </c>
      <c r="L355" s="25"/>
    </row>
    <row r="356">
      <c r="A356" s="45"/>
      <c r="B356" s="44" t="s">
        <v>1649</v>
      </c>
      <c r="C356" s="33" t="s">
        <v>1657</v>
      </c>
      <c r="D356" s="34"/>
      <c r="E356" s="33" t="s">
        <v>146</v>
      </c>
      <c r="F356" s="34"/>
      <c r="G356" s="35" t="s">
        <v>22</v>
      </c>
      <c r="H356" s="33" t="s">
        <v>1043</v>
      </c>
      <c r="I356" s="33" t="s">
        <v>95</v>
      </c>
      <c r="J356" s="33" t="s">
        <v>1614</v>
      </c>
      <c r="K356" s="218" t="s">
        <v>95</v>
      </c>
      <c r="L356" s="25"/>
    </row>
    <row r="357">
      <c r="A357" s="58"/>
      <c r="B357" s="217" t="s">
        <v>1649</v>
      </c>
      <c r="C357" s="60" t="s">
        <v>146</v>
      </c>
      <c r="D357" s="61"/>
      <c r="E357" s="60" t="s">
        <v>1658</v>
      </c>
      <c r="F357" s="61"/>
      <c r="G357" s="62" t="s">
        <v>22</v>
      </c>
      <c r="H357" s="60" t="s">
        <v>1659</v>
      </c>
      <c r="I357" s="60" t="s">
        <v>95</v>
      </c>
      <c r="J357" s="60" t="s">
        <v>1660</v>
      </c>
      <c r="K357" s="216" t="s">
        <v>24</v>
      </c>
      <c r="L357" s="25"/>
    </row>
    <row r="358">
      <c r="A358" s="45"/>
      <c r="B358" s="44" t="s">
        <v>1649</v>
      </c>
      <c r="C358" s="33" t="s">
        <v>146</v>
      </c>
      <c r="D358" s="34"/>
      <c r="E358" s="33" t="s">
        <v>552</v>
      </c>
      <c r="F358" s="34"/>
      <c r="G358" s="35" t="s">
        <v>22</v>
      </c>
      <c r="H358" s="33" t="s">
        <v>1661</v>
      </c>
      <c r="I358" s="33" t="s">
        <v>95</v>
      </c>
      <c r="J358" s="33" t="s">
        <v>1643</v>
      </c>
      <c r="K358" s="218" t="s">
        <v>95</v>
      </c>
      <c r="L358" s="25"/>
    </row>
    <row r="359">
      <c r="A359" s="45"/>
      <c r="B359" s="44" t="s">
        <v>1662</v>
      </c>
      <c r="C359" s="33" t="s">
        <v>1372</v>
      </c>
      <c r="D359" s="35">
        <v>9.9225282E8</v>
      </c>
      <c r="E359" s="33" t="s">
        <v>29</v>
      </c>
      <c r="F359" s="34"/>
      <c r="G359" s="35" t="s">
        <v>22</v>
      </c>
      <c r="H359" s="33" t="s">
        <v>1663</v>
      </c>
      <c r="I359" s="33" t="s">
        <v>33</v>
      </c>
      <c r="J359" s="33" t="s">
        <v>1664</v>
      </c>
      <c r="K359" s="218" t="s">
        <v>33</v>
      </c>
      <c r="L359" s="25"/>
    </row>
    <row r="360">
      <c r="A360" s="45"/>
      <c r="B360" s="44" t="s">
        <v>1662</v>
      </c>
      <c r="C360" s="33" t="s">
        <v>452</v>
      </c>
      <c r="D360" s="34"/>
      <c r="E360" s="33" t="s">
        <v>1665</v>
      </c>
      <c r="F360" s="34"/>
      <c r="G360" s="35" t="s">
        <v>1666</v>
      </c>
      <c r="H360" s="33" t="s">
        <v>1667</v>
      </c>
      <c r="I360" s="33" t="s">
        <v>33</v>
      </c>
      <c r="J360" s="33" t="s">
        <v>1664</v>
      </c>
      <c r="K360" s="218" t="s">
        <v>33</v>
      </c>
      <c r="L360" s="25"/>
    </row>
    <row r="361">
      <c r="A361" s="45"/>
      <c r="B361" s="44" t="s">
        <v>1662</v>
      </c>
      <c r="C361" s="33" t="s">
        <v>1668</v>
      </c>
      <c r="D361" s="34"/>
      <c r="E361" s="33" t="s">
        <v>1669</v>
      </c>
      <c r="F361" s="34"/>
      <c r="G361" s="35" t="s">
        <v>1670</v>
      </c>
      <c r="H361" s="33" t="s">
        <v>1671</v>
      </c>
      <c r="I361" s="33" t="s">
        <v>33</v>
      </c>
      <c r="J361" s="33" t="s">
        <v>1672</v>
      </c>
      <c r="K361" s="218" t="s">
        <v>36</v>
      </c>
      <c r="L361" s="25"/>
    </row>
    <row r="362">
      <c r="A362" s="45"/>
      <c r="B362" s="44" t="s">
        <v>1662</v>
      </c>
      <c r="C362" s="33" t="s">
        <v>321</v>
      </c>
      <c r="D362" s="34"/>
      <c r="E362" s="33" t="s">
        <v>863</v>
      </c>
      <c r="F362" s="35" t="s">
        <v>864</v>
      </c>
      <c r="G362" s="35" t="s">
        <v>55</v>
      </c>
      <c r="H362" s="33" t="s">
        <v>1673</v>
      </c>
      <c r="I362" s="33" t="s">
        <v>33</v>
      </c>
      <c r="J362" s="33" t="s">
        <v>1672</v>
      </c>
      <c r="K362" s="218" t="s">
        <v>36</v>
      </c>
      <c r="L362" s="25"/>
    </row>
    <row r="363">
      <c r="A363" s="58"/>
      <c r="B363" s="217" t="s">
        <v>1674</v>
      </c>
      <c r="C363" s="60" t="s">
        <v>1675</v>
      </c>
      <c r="D363" s="61">
        <f>56993557094</f>
        <v>56993557094</v>
      </c>
      <c r="E363" s="60" t="s">
        <v>29</v>
      </c>
      <c r="F363" s="61"/>
      <c r="G363" s="62" t="s">
        <v>22</v>
      </c>
      <c r="H363" s="60" t="s">
        <v>1676</v>
      </c>
      <c r="I363" s="60" t="s">
        <v>33</v>
      </c>
      <c r="J363" s="60" t="s">
        <v>1677</v>
      </c>
      <c r="K363" s="216" t="s">
        <v>24</v>
      </c>
      <c r="L363" s="25"/>
    </row>
    <row r="364">
      <c r="A364" s="45"/>
      <c r="B364" s="44" t="s">
        <v>1662</v>
      </c>
      <c r="C364" s="239" t="s">
        <v>465</v>
      </c>
      <c r="D364" s="34"/>
      <c r="E364" s="33" t="s">
        <v>1678</v>
      </c>
      <c r="F364" s="34"/>
      <c r="G364" s="35" t="s">
        <v>22</v>
      </c>
      <c r="H364" s="33" t="s">
        <v>459</v>
      </c>
      <c r="I364" s="33" t="s">
        <v>33</v>
      </c>
      <c r="J364" s="33" t="s">
        <v>1664</v>
      </c>
      <c r="K364" s="218" t="s">
        <v>33</v>
      </c>
      <c r="L364" s="25"/>
    </row>
    <row r="365">
      <c r="A365" s="45"/>
      <c r="B365" s="69">
        <v>45925.0</v>
      </c>
      <c r="C365" s="33" t="s">
        <v>36</v>
      </c>
      <c r="D365" s="34"/>
      <c r="E365" s="33" t="s">
        <v>1679</v>
      </c>
      <c r="F365" s="35" t="s">
        <v>1680</v>
      </c>
      <c r="G365" s="35" t="s">
        <v>22</v>
      </c>
      <c r="H365" s="33" t="s">
        <v>148</v>
      </c>
      <c r="I365" s="33" t="s">
        <v>36</v>
      </c>
      <c r="J365" s="218" t="s">
        <v>1672</v>
      </c>
      <c r="K365" s="35" t="s">
        <v>36</v>
      </c>
    </row>
    <row r="366">
      <c r="A366" s="45"/>
      <c r="B366" s="69">
        <v>45925.0</v>
      </c>
      <c r="C366" s="33" t="s">
        <v>36</v>
      </c>
      <c r="D366" s="34"/>
      <c r="E366" s="33" t="s">
        <v>1681</v>
      </c>
      <c r="F366" s="35" t="s">
        <v>1682</v>
      </c>
      <c r="G366" s="35" t="s">
        <v>22</v>
      </c>
      <c r="H366" s="33" t="s">
        <v>148</v>
      </c>
      <c r="I366" s="33" t="s">
        <v>36</v>
      </c>
      <c r="J366" s="218" t="s">
        <v>1672</v>
      </c>
      <c r="K366" s="35" t="s">
        <v>36</v>
      </c>
    </row>
    <row r="367">
      <c r="A367" s="45"/>
      <c r="B367" s="69">
        <v>45925.0</v>
      </c>
      <c r="C367" s="33" t="s">
        <v>36</v>
      </c>
      <c r="D367" s="34"/>
      <c r="E367" s="33" t="s">
        <v>1683</v>
      </c>
      <c r="F367" s="35" t="s">
        <v>1684</v>
      </c>
      <c r="G367" s="35" t="s">
        <v>22</v>
      </c>
      <c r="H367" s="33" t="s">
        <v>77</v>
      </c>
      <c r="I367" s="33" t="s">
        <v>36</v>
      </c>
      <c r="J367" s="218" t="s">
        <v>1672</v>
      </c>
      <c r="K367" s="35" t="s">
        <v>36</v>
      </c>
    </row>
    <row r="368">
      <c r="A368" s="45"/>
      <c r="B368" s="69">
        <v>45925.0</v>
      </c>
      <c r="C368" s="33" t="s">
        <v>36</v>
      </c>
      <c r="D368" s="34"/>
      <c r="E368" s="33" t="s">
        <v>1685</v>
      </c>
      <c r="F368" s="35" t="s">
        <v>1686</v>
      </c>
      <c r="G368" s="35" t="s">
        <v>22</v>
      </c>
      <c r="H368" s="33" t="s">
        <v>133</v>
      </c>
      <c r="I368" s="33" t="s">
        <v>36</v>
      </c>
      <c r="J368" s="218" t="s">
        <v>1672</v>
      </c>
      <c r="K368" s="35" t="s">
        <v>36</v>
      </c>
    </row>
    <row r="369">
      <c r="B369" s="240" t="s">
        <v>1687</v>
      </c>
      <c r="C369" s="72" t="s">
        <v>24</v>
      </c>
      <c r="D369" s="73"/>
      <c r="E369" s="72" t="s">
        <v>1688</v>
      </c>
      <c r="F369" s="73"/>
      <c r="G369" s="74" t="s">
        <v>22</v>
      </c>
      <c r="H369" s="72" t="s">
        <v>133</v>
      </c>
      <c r="I369" s="72" t="s">
        <v>25</v>
      </c>
      <c r="J369" s="72" t="s">
        <v>1689</v>
      </c>
      <c r="K369" s="241" t="s">
        <v>366</v>
      </c>
      <c r="L369" s="25"/>
    </row>
    <row r="370">
      <c r="A370" s="58"/>
      <c r="B370" s="217" t="s">
        <v>1687</v>
      </c>
      <c r="C370" s="60" t="s">
        <v>1657</v>
      </c>
      <c r="D370" s="61"/>
      <c r="E370" s="60" t="s">
        <v>146</v>
      </c>
      <c r="F370" s="61"/>
      <c r="G370" s="62" t="s">
        <v>22</v>
      </c>
      <c r="H370" s="60" t="s">
        <v>1690</v>
      </c>
      <c r="I370" s="60" t="s">
        <v>25</v>
      </c>
      <c r="J370" s="60" t="s">
        <v>1660</v>
      </c>
      <c r="K370" s="216" t="s">
        <v>24</v>
      </c>
      <c r="L370" s="25"/>
    </row>
    <row r="371">
      <c r="A371" s="45"/>
      <c r="B371" s="44" t="s">
        <v>1687</v>
      </c>
      <c r="C371" s="33" t="s">
        <v>1650</v>
      </c>
      <c r="D371" s="34"/>
      <c r="E371" s="33" t="s">
        <v>1691</v>
      </c>
      <c r="F371" s="35"/>
      <c r="G371" s="35" t="s">
        <v>22</v>
      </c>
      <c r="H371" s="33" t="s">
        <v>203</v>
      </c>
      <c r="I371" s="33" t="s">
        <v>25</v>
      </c>
      <c r="J371" s="33" t="s">
        <v>1692</v>
      </c>
      <c r="K371" s="218" t="s">
        <v>95</v>
      </c>
      <c r="L371" s="25"/>
    </row>
    <row r="372">
      <c r="A372" s="58"/>
      <c r="B372" s="77">
        <v>45927.0</v>
      </c>
      <c r="C372" s="60" t="s">
        <v>1657</v>
      </c>
      <c r="D372" s="61"/>
      <c r="E372" s="60" t="s">
        <v>44</v>
      </c>
      <c r="F372" s="61"/>
      <c r="G372" s="62" t="s">
        <v>22</v>
      </c>
      <c r="H372" s="60" t="s">
        <v>1693</v>
      </c>
      <c r="I372" s="60" t="s">
        <v>24</v>
      </c>
      <c r="J372" s="216" t="s">
        <v>1660</v>
      </c>
      <c r="K372" s="62" t="s">
        <v>24</v>
      </c>
    </row>
    <row r="373">
      <c r="A373" s="58"/>
      <c r="B373" s="217" t="s">
        <v>1694</v>
      </c>
      <c r="C373" s="60" t="s">
        <v>321</v>
      </c>
      <c r="D373" s="61"/>
      <c r="E373" s="60" t="s">
        <v>1142</v>
      </c>
      <c r="F373" s="62" t="s">
        <v>336</v>
      </c>
      <c r="G373" s="62" t="s">
        <v>22</v>
      </c>
      <c r="H373" s="60" t="s">
        <v>356</v>
      </c>
      <c r="I373" s="60" t="s">
        <v>24</v>
      </c>
      <c r="J373" s="60" t="s">
        <v>1660</v>
      </c>
      <c r="K373" s="216" t="s">
        <v>24</v>
      </c>
      <c r="L373" s="25"/>
    </row>
    <row r="374">
      <c r="A374" s="58"/>
      <c r="B374" s="217" t="s">
        <v>1694</v>
      </c>
      <c r="C374" s="60" t="s">
        <v>44</v>
      </c>
      <c r="D374" s="61"/>
      <c r="E374" s="60" t="s">
        <v>1657</v>
      </c>
      <c r="F374" s="61"/>
      <c r="G374" s="62" t="s">
        <v>22</v>
      </c>
      <c r="H374" s="60" t="s">
        <v>1693</v>
      </c>
      <c r="I374" s="60" t="s">
        <v>24</v>
      </c>
      <c r="J374" s="60" t="s">
        <v>1660</v>
      </c>
      <c r="K374" s="216" t="s">
        <v>24</v>
      </c>
      <c r="L374" s="25"/>
    </row>
    <row r="375">
      <c r="A375" s="45"/>
      <c r="B375" s="44" t="s">
        <v>1695</v>
      </c>
      <c r="C375" s="33" t="s">
        <v>146</v>
      </c>
      <c r="D375" s="34"/>
      <c r="E375" s="33" t="s">
        <v>1696</v>
      </c>
      <c r="F375" s="34"/>
      <c r="G375" s="35" t="s">
        <v>22</v>
      </c>
      <c r="H375" s="33" t="s">
        <v>565</v>
      </c>
      <c r="I375" s="33" t="s">
        <v>95</v>
      </c>
      <c r="J375" s="33" t="s">
        <v>1697</v>
      </c>
      <c r="K375" s="218" t="s">
        <v>25</v>
      </c>
      <c r="L375" s="25"/>
    </row>
    <row r="376">
      <c r="A376" s="45"/>
      <c r="B376" s="44" t="s">
        <v>1698</v>
      </c>
      <c r="C376" s="33" t="s">
        <v>1699</v>
      </c>
      <c r="D376" s="34"/>
      <c r="E376" s="33" t="s">
        <v>29</v>
      </c>
      <c r="F376" s="34"/>
      <c r="G376" s="35" t="s">
        <v>55</v>
      </c>
      <c r="H376" s="33" t="s">
        <v>1700</v>
      </c>
      <c r="I376" s="33" t="s">
        <v>33</v>
      </c>
      <c r="J376" s="33" t="s">
        <v>1701</v>
      </c>
      <c r="K376" s="218" t="s">
        <v>33</v>
      </c>
      <c r="L376" s="25"/>
    </row>
    <row r="377">
      <c r="A377" s="45"/>
      <c r="B377" s="44" t="s">
        <v>1698</v>
      </c>
      <c r="C377" s="33" t="s">
        <v>1702</v>
      </c>
      <c r="D377" s="35" t="s">
        <v>1703</v>
      </c>
      <c r="E377" s="33" t="s">
        <v>1704</v>
      </c>
      <c r="F377" s="34"/>
      <c r="G377" s="35" t="s">
        <v>1705</v>
      </c>
      <c r="H377" s="33" t="s">
        <v>1706</v>
      </c>
      <c r="I377" s="33" t="s">
        <v>33</v>
      </c>
      <c r="J377" s="33" t="s">
        <v>1701</v>
      </c>
      <c r="K377" s="218" t="s">
        <v>33</v>
      </c>
      <c r="L377" s="25"/>
    </row>
    <row r="378">
      <c r="A378" s="58"/>
      <c r="B378" s="217" t="s">
        <v>1698</v>
      </c>
      <c r="C378" s="60" t="s">
        <v>1707</v>
      </c>
      <c r="D378" s="61"/>
      <c r="E378" s="60" t="s">
        <v>29</v>
      </c>
      <c r="F378" s="61"/>
      <c r="G378" s="62" t="s">
        <v>22</v>
      </c>
      <c r="H378" s="60" t="s">
        <v>1708</v>
      </c>
      <c r="I378" s="60" t="s">
        <v>33</v>
      </c>
      <c r="J378" s="33" t="s">
        <v>1701</v>
      </c>
      <c r="K378" s="218" t="s">
        <v>33</v>
      </c>
      <c r="L378" s="25"/>
    </row>
    <row r="379">
      <c r="A379" s="45"/>
      <c r="B379" s="44" t="s">
        <v>1698</v>
      </c>
      <c r="C379" s="33" t="s">
        <v>465</v>
      </c>
      <c r="D379" s="34"/>
      <c r="E379" s="33" t="s">
        <v>1709</v>
      </c>
      <c r="F379" s="35" t="s">
        <v>1710</v>
      </c>
      <c r="G379" s="35" t="s">
        <v>22</v>
      </c>
      <c r="H379" s="33" t="s">
        <v>1506</v>
      </c>
      <c r="I379" s="33" t="s">
        <v>33</v>
      </c>
      <c r="J379" s="33" t="s">
        <v>1711</v>
      </c>
      <c r="K379" s="218" t="s">
        <v>95</v>
      </c>
      <c r="L379" s="25"/>
    </row>
    <row r="380">
      <c r="A380" s="45"/>
      <c r="B380" s="44" t="s">
        <v>1698</v>
      </c>
      <c r="C380" s="33" t="s">
        <v>465</v>
      </c>
      <c r="D380" s="34"/>
      <c r="E380" s="33" t="s">
        <v>1712</v>
      </c>
      <c r="F380" s="35" t="s">
        <v>1713</v>
      </c>
      <c r="G380" s="35" t="s">
        <v>22</v>
      </c>
      <c r="H380" s="33" t="s">
        <v>1426</v>
      </c>
      <c r="I380" s="33" t="s">
        <v>33</v>
      </c>
      <c r="J380" s="33" t="s">
        <v>1697</v>
      </c>
      <c r="K380" s="242" t="s">
        <v>25</v>
      </c>
      <c r="L380" s="25"/>
    </row>
    <row r="381">
      <c r="A381" s="58"/>
      <c r="B381" s="217" t="s">
        <v>1698</v>
      </c>
      <c r="C381" s="60" t="s">
        <v>36</v>
      </c>
      <c r="D381" s="61"/>
      <c r="E381" s="60" t="s">
        <v>915</v>
      </c>
      <c r="F381" s="62" t="s">
        <v>1714</v>
      </c>
      <c r="G381" s="62" t="s">
        <v>22</v>
      </c>
      <c r="H381" s="60" t="s">
        <v>1715</v>
      </c>
      <c r="I381" s="60" t="s">
        <v>36</v>
      </c>
      <c r="J381" s="60" t="s">
        <v>1716</v>
      </c>
      <c r="K381" s="216" t="s">
        <v>24</v>
      </c>
      <c r="L381" s="25"/>
    </row>
    <row r="382">
      <c r="A382" s="45"/>
      <c r="B382" s="44" t="s">
        <v>1698</v>
      </c>
      <c r="C382" s="33" t="s">
        <v>321</v>
      </c>
      <c r="D382" s="34"/>
      <c r="E382" s="33" t="s">
        <v>1717</v>
      </c>
      <c r="F382" s="35" t="s">
        <v>1718</v>
      </c>
      <c r="G382" s="35" t="s">
        <v>22</v>
      </c>
      <c r="H382" s="33" t="s">
        <v>1719</v>
      </c>
      <c r="I382" s="33" t="s">
        <v>400</v>
      </c>
      <c r="J382" s="33" t="s">
        <v>1701</v>
      </c>
      <c r="K382" s="218" t="s">
        <v>33</v>
      </c>
      <c r="L382" s="25"/>
    </row>
    <row r="383">
      <c r="A383" s="58"/>
      <c r="B383" s="217" t="s">
        <v>1720</v>
      </c>
      <c r="C383" s="60" t="s">
        <v>36</v>
      </c>
      <c r="D383" s="61"/>
      <c r="E383" s="60" t="s">
        <v>1312</v>
      </c>
      <c r="F383" s="62" t="s">
        <v>1721</v>
      </c>
      <c r="G383" s="62" t="s">
        <v>22</v>
      </c>
      <c r="H383" s="60" t="s">
        <v>1715</v>
      </c>
      <c r="I383" s="60" t="s">
        <v>36</v>
      </c>
      <c r="J383" s="60" t="s">
        <v>1716</v>
      </c>
      <c r="K383" s="216" t="s">
        <v>24</v>
      </c>
      <c r="L383" s="25"/>
    </row>
    <row r="384">
      <c r="A384" s="45"/>
      <c r="B384" s="55">
        <v>45931.0</v>
      </c>
      <c r="C384" s="33" t="s">
        <v>465</v>
      </c>
      <c r="D384" s="34"/>
      <c r="E384" s="33" t="s">
        <v>1722</v>
      </c>
      <c r="F384" s="35" t="s">
        <v>1723</v>
      </c>
      <c r="G384" s="35" t="s">
        <v>22</v>
      </c>
      <c r="H384" s="33" t="s">
        <v>1693</v>
      </c>
      <c r="I384" s="33" t="s">
        <v>24</v>
      </c>
      <c r="J384" s="218" t="s">
        <v>1724</v>
      </c>
      <c r="K384" s="35" t="s">
        <v>36</v>
      </c>
    </row>
    <row r="385">
      <c r="A385" s="58"/>
      <c r="B385" s="59">
        <v>45931.0</v>
      </c>
      <c r="C385" s="60" t="s">
        <v>321</v>
      </c>
      <c r="D385" s="61"/>
      <c r="E385" s="60" t="s">
        <v>1725</v>
      </c>
      <c r="F385" s="61"/>
      <c r="G385" s="62" t="s">
        <v>22</v>
      </c>
      <c r="H385" s="60" t="s">
        <v>1726</v>
      </c>
      <c r="I385" s="60" t="s">
        <v>24</v>
      </c>
      <c r="J385" s="216" t="s">
        <v>1716</v>
      </c>
      <c r="K385" s="62" t="s">
        <v>24</v>
      </c>
    </row>
    <row r="386">
      <c r="A386" s="15"/>
      <c r="B386" s="108">
        <v>45931.0</v>
      </c>
      <c r="C386" s="65" t="s">
        <v>65</v>
      </c>
      <c r="D386" s="66"/>
      <c r="E386" s="65" t="s">
        <v>826</v>
      </c>
      <c r="F386" s="66"/>
      <c r="G386" s="67" t="s">
        <v>22</v>
      </c>
      <c r="H386" s="65" t="s">
        <v>203</v>
      </c>
      <c r="I386" s="65" t="s">
        <v>24</v>
      </c>
      <c r="J386" s="243" t="s">
        <v>1697</v>
      </c>
      <c r="K386" s="67" t="s">
        <v>25</v>
      </c>
    </row>
    <row r="387">
      <c r="A387" s="45"/>
      <c r="B387" s="55">
        <v>45933.0</v>
      </c>
      <c r="C387" s="33" t="s">
        <v>146</v>
      </c>
      <c r="D387" s="34"/>
      <c r="E387" s="33" t="s">
        <v>1657</v>
      </c>
      <c r="F387" s="34"/>
      <c r="G387" s="35" t="s">
        <v>22</v>
      </c>
      <c r="H387" s="33" t="s">
        <v>1727</v>
      </c>
      <c r="I387" s="33" t="s">
        <v>25</v>
      </c>
      <c r="J387" s="218" t="s">
        <v>1728</v>
      </c>
      <c r="K387" s="35" t="s">
        <v>400</v>
      </c>
    </row>
    <row r="388">
      <c r="A388" s="45"/>
      <c r="B388" s="55">
        <v>45933.0</v>
      </c>
      <c r="C388" s="33" t="s">
        <v>270</v>
      </c>
      <c r="D388" s="34"/>
      <c r="E388" s="33" t="s">
        <v>1729</v>
      </c>
      <c r="F388" s="34"/>
      <c r="G388" s="35" t="s">
        <v>22</v>
      </c>
      <c r="H388" s="33" t="s">
        <v>1730</v>
      </c>
      <c r="I388" s="33" t="s">
        <v>25</v>
      </c>
      <c r="J388" s="218" t="s">
        <v>1731</v>
      </c>
      <c r="K388" s="35" t="s">
        <v>95</v>
      </c>
    </row>
    <row r="389">
      <c r="A389" s="15"/>
      <c r="B389" s="108">
        <v>45933.0</v>
      </c>
      <c r="C389" s="65" t="s">
        <v>270</v>
      </c>
      <c r="D389" s="66"/>
      <c r="E389" s="65" t="s">
        <v>1732</v>
      </c>
      <c r="F389" s="66"/>
      <c r="G389" s="67" t="s">
        <v>22</v>
      </c>
      <c r="H389" s="65" t="s">
        <v>1733</v>
      </c>
      <c r="I389" s="65" t="s">
        <v>25</v>
      </c>
      <c r="J389" s="243" t="s">
        <v>1697</v>
      </c>
      <c r="K389" s="66"/>
    </row>
    <row r="390">
      <c r="A390" s="45"/>
      <c r="B390" s="55">
        <v>45937.0</v>
      </c>
      <c r="C390" s="33" t="s">
        <v>1734</v>
      </c>
      <c r="D390" s="34"/>
      <c r="E390" s="33" t="s">
        <v>44</v>
      </c>
      <c r="F390" s="34"/>
      <c r="G390" s="35" t="s">
        <v>22</v>
      </c>
      <c r="H390" s="33" t="s">
        <v>148</v>
      </c>
      <c r="I390" s="33" t="s">
        <v>95</v>
      </c>
      <c r="J390" s="218" t="s">
        <v>1731</v>
      </c>
      <c r="K390" s="35" t="s">
        <v>95</v>
      </c>
    </row>
    <row r="391">
      <c r="A391" s="58"/>
      <c r="B391" s="59">
        <v>45937.0</v>
      </c>
      <c r="C391" s="60" t="s">
        <v>36</v>
      </c>
      <c r="D391" s="61"/>
      <c r="E391" s="60" t="s">
        <v>1735</v>
      </c>
      <c r="F391" s="62" t="s">
        <v>1736</v>
      </c>
      <c r="G391" s="62" t="s">
        <v>22</v>
      </c>
      <c r="H391" s="60" t="s">
        <v>148</v>
      </c>
      <c r="I391" s="60" t="s">
        <v>36</v>
      </c>
      <c r="J391" s="216" t="s">
        <v>1737</v>
      </c>
      <c r="K391" s="62" t="s">
        <v>24</v>
      </c>
    </row>
    <row r="392">
      <c r="A392" s="58"/>
      <c r="B392" s="59">
        <v>45937.0</v>
      </c>
      <c r="C392" s="60" t="s">
        <v>309</v>
      </c>
      <c r="D392" s="61"/>
      <c r="E392" s="60" t="s">
        <v>1738</v>
      </c>
      <c r="F392" s="61"/>
      <c r="G392" s="62" t="s">
        <v>22</v>
      </c>
      <c r="H392" s="60" t="s">
        <v>1739</v>
      </c>
      <c r="I392" s="60" t="s">
        <v>95</v>
      </c>
      <c r="J392" s="216" t="s">
        <v>1740</v>
      </c>
      <c r="K392" s="62" t="s">
        <v>24</v>
      </c>
    </row>
    <row r="393">
      <c r="A393" s="45"/>
      <c r="B393" s="55">
        <v>45937.0</v>
      </c>
      <c r="C393" s="33" t="s">
        <v>270</v>
      </c>
      <c r="D393" s="34"/>
      <c r="E393" s="33" t="s">
        <v>845</v>
      </c>
      <c r="F393" s="35" t="s">
        <v>1741</v>
      </c>
      <c r="G393" s="35" t="s">
        <v>22</v>
      </c>
      <c r="H393" s="33" t="s">
        <v>1742</v>
      </c>
      <c r="I393" s="33" t="s">
        <v>95</v>
      </c>
      <c r="J393" s="229">
        <v>45945.0</v>
      </c>
      <c r="K393" s="35" t="s">
        <v>206</v>
      </c>
    </row>
    <row r="394">
      <c r="A394" s="45"/>
      <c r="B394" s="69">
        <v>45938.0</v>
      </c>
      <c r="C394" s="33" t="s">
        <v>1435</v>
      </c>
      <c r="D394" s="34"/>
      <c r="E394" s="33" t="s">
        <v>1743</v>
      </c>
      <c r="F394" s="34"/>
      <c r="G394" s="35" t="s">
        <v>22</v>
      </c>
      <c r="H394" s="33" t="s">
        <v>1715</v>
      </c>
      <c r="I394" s="33" t="s">
        <v>24</v>
      </c>
      <c r="J394" s="218" t="s">
        <v>1744</v>
      </c>
      <c r="K394" s="35" t="s">
        <v>206</v>
      </c>
    </row>
    <row r="395">
      <c r="A395" s="45"/>
      <c r="B395" s="69">
        <v>45939.0</v>
      </c>
      <c r="C395" s="33" t="s">
        <v>343</v>
      </c>
      <c r="D395" s="34"/>
      <c r="E395" s="33" t="s">
        <v>1745</v>
      </c>
      <c r="F395" s="35" t="s">
        <v>1746</v>
      </c>
      <c r="G395" s="35" t="s">
        <v>22</v>
      </c>
      <c r="H395" s="33" t="s">
        <v>148</v>
      </c>
      <c r="I395" s="33" t="s">
        <v>36</v>
      </c>
      <c r="J395" s="218" t="s">
        <v>1747</v>
      </c>
      <c r="K395" s="35" t="s">
        <v>138</v>
      </c>
    </row>
    <row r="396">
      <c r="A396" s="86"/>
      <c r="B396" s="143">
        <v>45939.0</v>
      </c>
      <c r="C396" s="86" t="s">
        <v>197</v>
      </c>
      <c r="D396" s="89"/>
      <c r="E396" s="86" t="s">
        <v>1748</v>
      </c>
      <c r="F396" s="89" t="s">
        <v>1749</v>
      </c>
      <c r="G396" s="89" t="s">
        <v>22</v>
      </c>
      <c r="H396" s="86"/>
      <c r="I396" s="86" t="s">
        <v>1750</v>
      </c>
      <c r="J396" s="236" t="s">
        <v>36</v>
      </c>
      <c r="K396" s="237">
        <v>45975.0</v>
      </c>
      <c r="L396" s="86" t="s">
        <v>24</v>
      </c>
    </row>
    <row r="397">
      <c r="A397" s="15"/>
      <c r="B397" s="244">
        <v>45940.0</v>
      </c>
      <c r="C397" s="65" t="s">
        <v>1751</v>
      </c>
      <c r="D397" s="66"/>
      <c r="E397" s="65" t="s">
        <v>1286</v>
      </c>
      <c r="F397" s="66"/>
      <c r="G397" s="67" t="s">
        <v>22</v>
      </c>
      <c r="H397" s="65" t="s">
        <v>237</v>
      </c>
      <c r="I397" s="65" t="s">
        <v>25</v>
      </c>
      <c r="J397" s="243" t="s">
        <v>1752</v>
      </c>
      <c r="K397" s="67" t="s">
        <v>48</v>
      </c>
    </row>
    <row r="398">
      <c r="A398" s="45"/>
      <c r="B398" s="245">
        <v>45940.0</v>
      </c>
      <c r="C398" s="33" t="s">
        <v>1751</v>
      </c>
      <c r="D398" s="34"/>
      <c r="E398" s="33" t="s">
        <v>1753</v>
      </c>
      <c r="F398" s="34"/>
      <c r="G398" s="35" t="s">
        <v>22</v>
      </c>
      <c r="H398" s="33" t="s">
        <v>1754</v>
      </c>
      <c r="I398" s="33" t="s">
        <v>25</v>
      </c>
      <c r="J398" s="218" t="s">
        <v>1728</v>
      </c>
      <c r="K398" s="35" t="s">
        <v>33</v>
      </c>
    </row>
    <row r="399">
      <c r="A399" s="15"/>
      <c r="B399" s="244">
        <v>45940.0</v>
      </c>
      <c r="C399" s="65" t="s">
        <v>1751</v>
      </c>
      <c r="D399" s="66"/>
      <c r="E399" s="65" t="s">
        <v>1755</v>
      </c>
      <c r="F399" s="66"/>
      <c r="G399" s="67" t="s">
        <v>341</v>
      </c>
      <c r="H399" s="65" t="s">
        <v>1754</v>
      </c>
      <c r="I399" s="65" t="s">
        <v>25</v>
      </c>
      <c r="J399" s="243" t="s">
        <v>1756</v>
      </c>
      <c r="K399" s="67" t="s">
        <v>25</v>
      </c>
    </row>
    <row r="400">
      <c r="A400" s="45"/>
      <c r="B400" s="245">
        <v>45941.0</v>
      </c>
      <c r="C400" s="33" t="s">
        <v>1435</v>
      </c>
      <c r="D400" s="34"/>
      <c r="E400" s="33" t="s">
        <v>1757</v>
      </c>
      <c r="F400" s="34"/>
      <c r="G400" s="33" t="s">
        <v>22</v>
      </c>
      <c r="H400" s="33" t="s">
        <v>1461</v>
      </c>
      <c r="I400" s="33" t="s">
        <v>400</v>
      </c>
      <c r="J400" s="218" t="s">
        <v>1747</v>
      </c>
      <c r="K400" s="35" t="s">
        <v>95</v>
      </c>
    </row>
    <row r="401">
      <c r="A401" s="45"/>
      <c r="B401" s="245">
        <v>45944.0</v>
      </c>
      <c r="C401" s="33" t="s">
        <v>75</v>
      </c>
      <c r="D401" s="34"/>
      <c r="E401" s="33" t="s">
        <v>1068</v>
      </c>
      <c r="F401" s="34"/>
      <c r="G401" s="35" t="s">
        <v>22</v>
      </c>
      <c r="H401" s="33" t="s">
        <v>1758</v>
      </c>
      <c r="I401" s="33" t="s">
        <v>33</v>
      </c>
      <c r="J401" s="218" t="s">
        <v>1759</v>
      </c>
      <c r="K401" s="35" t="s">
        <v>33</v>
      </c>
    </row>
    <row r="402">
      <c r="A402" s="45"/>
      <c r="B402" s="245">
        <v>45944.0</v>
      </c>
      <c r="C402" s="33" t="s">
        <v>75</v>
      </c>
      <c r="D402" s="34"/>
      <c r="E402" s="33" t="s">
        <v>1760</v>
      </c>
      <c r="F402" s="34"/>
      <c r="G402" s="35" t="s">
        <v>22</v>
      </c>
      <c r="H402" s="33" t="s">
        <v>1758</v>
      </c>
      <c r="I402" s="33" t="s">
        <v>33</v>
      </c>
      <c r="J402" s="218" t="s">
        <v>1759</v>
      </c>
      <c r="K402" s="35" t="s">
        <v>33</v>
      </c>
    </row>
    <row r="403">
      <c r="A403" s="45"/>
      <c r="B403" s="245">
        <v>45944.0</v>
      </c>
      <c r="C403" s="33" t="s">
        <v>1761</v>
      </c>
      <c r="D403" s="35">
        <v>9.97750729E8</v>
      </c>
      <c r="E403" s="33" t="s">
        <v>29</v>
      </c>
      <c r="F403" s="34"/>
      <c r="G403" s="35" t="s">
        <v>22</v>
      </c>
      <c r="H403" s="33" t="s">
        <v>1426</v>
      </c>
      <c r="I403" s="33" t="s">
        <v>33</v>
      </c>
      <c r="J403" s="229">
        <v>45945.0</v>
      </c>
      <c r="K403" s="35" t="s">
        <v>206</v>
      </c>
    </row>
    <row r="404">
      <c r="A404" s="45"/>
      <c r="B404" s="245">
        <v>45944.0</v>
      </c>
      <c r="C404" s="33" t="s">
        <v>1762</v>
      </c>
      <c r="D404" s="34"/>
      <c r="E404" s="33" t="s">
        <v>1763</v>
      </c>
      <c r="F404" s="34"/>
      <c r="G404" s="35" t="s">
        <v>22</v>
      </c>
      <c r="H404" s="33" t="s">
        <v>459</v>
      </c>
      <c r="I404" s="33" t="s">
        <v>33</v>
      </c>
      <c r="J404" s="218" t="s">
        <v>1764</v>
      </c>
      <c r="K404" s="35" t="s">
        <v>95</v>
      </c>
    </row>
    <row r="405">
      <c r="A405" s="144"/>
      <c r="B405" s="246">
        <v>45944.0</v>
      </c>
      <c r="C405" s="92" t="s">
        <v>75</v>
      </c>
      <c r="D405" s="99"/>
      <c r="E405" s="92" t="s">
        <v>1765</v>
      </c>
      <c r="F405" s="99" t="s">
        <v>1766</v>
      </c>
      <c r="G405" s="99" t="s">
        <v>22</v>
      </c>
      <c r="H405" s="92"/>
      <c r="I405" s="92" t="s">
        <v>1758</v>
      </c>
      <c r="J405" s="92" t="s">
        <v>33</v>
      </c>
      <c r="K405" s="247">
        <v>45979.0</v>
      </c>
      <c r="L405" s="99" t="s">
        <v>33</v>
      </c>
    </row>
    <row r="406">
      <c r="A406" s="45"/>
      <c r="B406" s="245">
        <v>45945.0</v>
      </c>
      <c r="C406" s="33" t="s">
        <v>1767</v>
      </c>
      <c r="D406" s="35">
        <v>9.1592146E7</v>
      </c>
      <c r="E406" s="33" t="s">
        <v>29</v>
      </c>
      <c r="F406" s="34"/>
      <c r="G406" s="35" t="s">
        <v>22</v>
      </c>
      <c r="H406" s="33" t="s">
        <v>1768</v>
      </c>
      <c r="I406" s="33" t="s">
        <v>36</v>
      </c>
      <c r="J406" s="229">
        <v>45945.0</v>
      </c>
      <c r="K406" s="35" t="s">
        <v>36</v>
      </c>
    </row>
    <row r="407">
      <c r="A407" s="45"/>
      <c r="B407" s="245">
        <v>45945.0</v>
      </c>
      <c r="C407" s="33" t="s">
        <v>37</v>
      </c>
      <c r="D407" s="34"/>
      <c r="E407" s="33" t="s">
        <v>1372</v>
      </c>
      <c r="F407" s="34"/>
      <c r="G407" s="35" t="s">
        <v>22</v>
      </c>
      <c r="H407" s="33" t="s">
        <v>1769</v>
      </c>
      <c r="I407" s="33" t="s">
        <v>36</v>
      </c>
      <c r="J407" s="218" t="s">
        <v>1770</v>
      </c>
      <c r="K407" s="35" t="s">
        <v>95</v>
      </c>
    </row>
    <row r="408">
      <c r="A408" s="45"/>
      <c r="B408" s="245">
        <v>45945.0</v>
      </c>
      <c r="C408" s="33" t="s">
        <v>326</v>
      </c>
      <c r="D408" s="34"/>
      <c r="E408" s="33" t="s">
        <v>1771</v>
      </c>
      <c r="F408" s="34"/>
      <c r="G408" s="35" t="s">
        <v>22</v>
      </c>
      <c r="H408" s="33" t="s">
        <v>1772</v>
      </c>
      <c r="I408" s="33" t="s">
        <v>36</v>
      </c>
      <c r="J408" s="219"/>
      <c r="K408" s="35" t="s">
        <v>25</v>
      </c>
    </row>
    <row r="409">
      <c r="A409" s="45"/>
      <c r="B409" s="245">
        <v>45945.0</v>
      </c>
      <c r="C409" s="33" t="s">
        <v>197</v>
      </c>
      <c r="D409" s="34"/>
      <c r="E409" s="33" t="s">
        <v>1773</v>
      </c>
      <c r="F409" s="35" t="s">
        <v>1774</v>
      </c>
      <c r="G409" s="35" t="s">
        <v>22</v>
      </c>
      <c r="H409" s="33" t="s">
        <v>1775</v>
      </c>
      <c r="I409" s="33" t="s">
        <v>36</v>
      </c>
      <c r="J409" s="218" t="s">
        <v>1776</v>
      </c>
      <c r="K409" s="35" t="s">
        <v>33</v>
      </c>
    </row>
    <row r="410">
      <c r="A410" s="45"/>
      <c r="B410" s="76">
        <v>45946.0</v>
      </c>
      <c r="C410" s="33" t="s">
        <v>1777</v>
      </c>
      <c r="D410" s="34"/>
      <c r="E410" s="33" t="s">
        <v>1778</v>
      </c>
      <c r="F410" s="34"/>
      <c r="G410" s="35" t="s">
        <v>289</v>
      </c>
      <c r="H410" s="33" t="s">
        <v>1779</v>
      </c>
      <c r="I410" s="33" t="s">
        <v>95</v>
      </c>
      <c r="J410" s="219"/>
      <c r="K410" s="35" t="s">
        <v>25</v>
      </c>
    </row>
    <row r="411">
      <c r="A411" s="45"/>
      <c r="B411" s="76">
        <v>45946.0</v>
      </c>
      <c r="C411" s="33" t="s">
        <v>206</v>
      </c>
      <c r="D411" s="34"/>
      <c r="E411" s="33" t="s">
        <v>1024</v>
      </c>
      <c r="F411" s="35" t="s">
        <v>1780</v>
      </c>
      <c r="G411" s="35" t="s">
        <v>22</v>
      </c>
      <c r="H411" s="33" t="s">
        <v>69</v>
      </c>
      <c r="I411" s="45"/>
      <c r="J411" s="219"/>
      <c r="K411" s="35" t="s">
        <v>25</v>
      </c>
    </row>
    <row r="412">
      <c r="A412" s="45"/>
      <c r="B412" s="76">
        <v>45947.0</v>
      </c>
      <c r="C412" s="33" t="s">
        <v>25</v>
      </c>
      <c r="D412" s="34"/>
      <c r="E412" s="33" t="s">
        <v>1781</v>
      </c>
      <c r="F412" s="34"/>
      <c r="G412" s="35" t="s">
        <v>22</v>
      </c>
      <c r="H412" s="33" t="s">
        <v>28</v>
      </c>
      <c r="I412" s="33" t="s">
        <v>25</v>
      </c>
      <c r="J412" s="219"/>
      <c r="K412" s="35" t="s">
        <v>25</v>
      </c>
    </row>
    <row r="413">
      <c r="A413" s="45"/>
      <c r="B413" s="76">
        <v>45947.0</v>
      </c>
      <c r="C413" s="33" t="s">
        <v>25</v>
      </c>
      <c r="D413" s="34"/>
      <c r="E413" s="33" t="s">
        <v>1782</v>
      </c>
      <c r="F413" s="34"/>
      <c r="G413" s="35" t="s">
        <v>27</v>
      </c>
      <c r="H413" s="33" t="s">
        <v>28</v>
      </c>
      <c r="I413" s="33" t="s">
        <v>25</v>
      </c>
      <c r="J413" s="219"/>
      <c r="K413" s="35" t="s">
        <v>25</v>
      </c>
    </row>
    <row r="414">
      <c r="A414" s="45"/>
      <c r="B414" s="76">
        <v>45947.0</v>
      </c>
      <c r="C414" s="33" t="s">
        <v>1783</v>
      </c>
      <c r="D414" s="34"/>
      <c r="E414" s="33" t="s">
        <v>1784</v>
      </c>
      <c r="F414" s="34"/>
      <c r="G414" s="35" t="s">
        <v>22</v>
      </c>
      <c r="H414" s="33" t="s">
        <v>237</v>
      </c>
      <c r="I414" s="33" t="s">
        <v>25</v>
      </c>
      <c r="J414" s="219"/>
      <c r="K414" s="35" t="s">
        <v>25</v>
      </c>
    </row>
    <row r="415">
      <c r="A415" s="45"/>
      <c r="B415" s="76">
        <v>45947.0</v>
      </c>
      <c r="C415" s="33" t="s">
        <v>149</v>
      </c>
      <c r="D415" s="34"/>
      <c r="E415" s="33" t="s">
        <v>1785</v>
      </c>
      <c r="F415" s="34"/>
      <c r="G415" s="35" t="s">
        <v>22</v>
      </c>
      <c r="H415" s="33" t="s">
        <v>237</v>
      </c>
      <c r="I415" s="33" t="s">
        <v>25</v>
      </c>
      <c r="J415" s="219"/>
      <c r="K415" s="35" t="s">
        <v>25</v>
      </c>
    </row>
    <row r="416">
      <c r="A416" s="80"/>
      <c r="B416" s="101">
        <v>45947.0</v>
      </c>
      <c r="C416" s="80" t="s">
        <v>25</v>
      </c>
      <c r="D416" s="83"/>
      <c r="E416" s="80" t="s">
        <v>1786</v>
      </c>
      <c r="F416" s="83"/>
      <c r="G416" s="83" t="s">
        <v>22</v>
      </c>
      <c r="H416" s="80"/>
      <c r="I416" s="80" t="s">
        <v>28</v>
      </c>
      <c r="J416" s="175" t="s">
        <v>25</v>
      </c>
      <c r="K416" s="248">
        <v>45973.0</v>
      </c>
      <c r="L416" s="80" t="s">
        <v>130</v>
      </c>
    </row>
    <row r="417">
      <c r="A417" s="45"/>
      <c r="B417" s="76">
        <v>45948.0</v>
      </c>
      <c r="C417" s="33" t="s">
        <v>1767</v>
      </c>
      <c r="D417" s="34"/>
      <c r="E417" s="33" t="s">
        <v>29</v>
      </c>
      <c r="F417" s="34"/>
      <c r="G417" s="35" t="s">
        <v>22</v>
      </c>
      <c r="H417" s="33" t="s">
        <v>234</v>
      </c>
      <c r="I417" s="33" t="s">
        <v>25</v>
      </c>
      <c r="J417" s="219"/>
      <c r="K417" s="35" t="s">
        <v>25</v>
      </c>
    </row>
    <row r="418">
      <c r="A418" s="45"/>
      <c r="B418" s="76">
        <v>45948.0</v>
      </c>
      <c r="C418" s="33" t="s">
        <v>1787</v>
      </c>
      <c r="D418" s="34"/>
      <c r="E418" s="33" t="s">
        <v>1788</v>
      </c>
      <c r="F418" s="34"/>
      <c r="G418" s="35" t="s">
        <v>22</v>
      </c>
      <c r="H418" s="33" t="s">
        <v>237</v>
      </c>
      <c r="I418" s="33" t="s">
        <v>25</v>
      </c>
      <c r="J418" s="218" t="s">
        <v>1789</v>
      </c>
      <c r="K418" s="35" t="s">
        <v>130</v>
      </c>
    </row>
    <row r="419">
      <c r="A419" s="45"/>
      <c r="B419" s="76">
        <v>45948.0</v>
      </c>
      <c r="C419" s="33" t="s">
        <v>1787</v>
      </c>
      <c r="D419" s="34"/>
      <c r="E419" s="33" t="s">
        <v>1790</v>
      </c>
      <c r="F419" s="34"/>
      <c r="G419" s="35" t="s">
        <v>22</v>
      </c>
      <c r="H419" s="33" t="s">
        <v>237</v>
      </c>
      <c r="I419" s="33" t="s">
        <v>25</v>
      </c>
      <c r="J419" s="219"/>
      <c r="K419" s="35" t="s">
        <v>25</v>
      </c>
    </row>
    <row r="420">
      <c r="A420" s="45"/>
      <c r="B420" s="76">
        <v>45948.0</v>
      </c>
      <c r="C420" s="33" t="s">
        <v>149</v>
      </c>
      <c r="D420" s="34"/>
      <c r="E420" s="33" t="s">
        <v>1791</v>
      </c>
      <c r="F420" s="34"/>
      <c r="G420" s="35" t="s">
        <v>22</v>
      </c>
      <c r="H420" s="33" t="s">
        <v>237</v>
      </c>
      <c r="I420" s="33" t="s">
        <v>25</v>
      </c>
      <c r="J420" s="219"/>
      <c r="K420" s="35" t="s">
        <v>25</v>
      </c>
    </row>
    <row r="421">
      <c r="A421" s="45"/>
      <c r="B421" s="249">
        <v>45948.0</v>
      </c>
      <c r="C421" s="218" t="s">
        <v>149</v>
      </c>
      <c r="D421" s="34"/>
      <c r="E421" s="33" t="s">
        <v>1792</v>
      </c>
      <c r="F421" s="34"/>
      <c r="G421" s="35" t="s">
        <v>1793</v>
      </c>
      <c r="H421" s="33" t="s">
        <v>237</v>
      </c>
      <c r="I421" s="33" t="s">
        <v>25</v>
      </c>
      <c r="J421" s="219"/>
      <c r="K421" s="35" t="s">
        <v>25</v>
      </c>
    </row>
    <row r="422">
      <c r="A422" s="45"/>
      <c r="B422" s="76">
        <v>45950.0</v>
      </c>
      <c r="C422" s="33" t="s">
        <v>149</v>
      </c>
      <c r="D422" s="34"/>
      <c r="E422" s="33" t="s">
        <v>1794</v>
      </c>
      <c r="F422" s="34"/>
      <c r="G422" s="35" t="s">
        <v>22</v>
      </c>
      <c r="H422" s="33" t="s">
        <v>237</v>
      </c>
      <c r="I422" s="33" t="s">
        <v>95</v>
      </c>
      <c r="J422" s="229">
        <v>45951.0</v>
      </c>
      <c r="K422" s="35" t="s">
        <v>206</v>
      </c>
    </row>
    <row r="423">
      <c r="A423" s="45"/>
      <c r="B423" s="76">
        <v>45950.0</v>
      </c>
      <c r="C423" s="33" t="s">
        <v>677</v>
      </c>
      <c r="D423" s="34"/>
      <c r="E423" s="33" t="s">
        <v>146</v>
      </c>
      <c r="F423" s="34"/>
      <c r="G423" s="35" t="s">
        <v>22</v>
      </c>
      <c r="H423" s="33" t="s">
        <v>1795</v>
      </c>
      <c r="I423" s="33" t="s">
        <v>95</v>
      </c>
      <c r="J423" s="218" t="s">
        <v>1796</v>
      </c>
      <c r="K423" s="35" t="s">
        <v>95</v>
      </c>
    </row>
    <row r="424">
      <c r="A424" s="45"/>
      <c r="B424" s="76">
        <v>45950.0</v>
      </c>
      <c r="C424" s="33" t="s">
        <v>1797</v>
      </c>
      <c r="D424" s="34">
        <f>56937337259</f>
        <v>56937337259</v>
      </c>
      <c r="E424" s="33" t="s">
        <v>146</v>
      </c>
      <c r="F424" s="34"/>
      <c r="G424" s="35" t="s">
        <v>22</v>
      </c>
      <c r="H424" s="33" t="s">
        <v>1798</v>
      </c>
      <c r="I424" s="33" t="s">
        <v>95</v>
      </c>
      <c r="J424" s="249">
        <v>45951.0</v>
      </c>
      <c r="K424" s="35" t="s">
        <v>36</v>
      </c>
    </row>
    <row r="425">
      <c r="A425" s="45"/>
      <c r="B425" s="76">
        <v>45951.0</v>
      </c>
      <c r="C425" s="33" t="s">
        <v>206</v>
      </c>
      <c r="D425" s="34"/>
      <c r="E425" s="33" t="s">
        <v>643</v>
      </c>
      <c r="F425" s="34"/>
      <c r="G425" s="35" t="s">
        <v>22</v>
      </c>
      <c r="H425" s="33" t="s">
        <v>1799</v>
      </c>
      <c r="I425" s="33" t="s">
        <v>36</v>
      </c>
      <c r="J425" s="229">
        <v>45951.0</v>
      </c>
      <c r="K425" s="35" t="s">
        <v>36</v>
      </c>
    </row>
    <row r="426">
      <c r="A426" s="45"/>
      <c r="B426" s="76">
        <v>45951.0</v>
      </c>
      <c r="C426" s="33" t="s">
        <v>1800</v>
      </c>
      <c r="D426" s="34"/>
      <c r="E426" s="33" t="s">
        <v>1801</v>
      </c>
      <c r="F426" s="34"/>
      <c r="G426" s="35" t="s">
        <v>22</v>
      </c>
      <c r="H426" s="33" t="s">
        <v>1802</v>
      </c>
      <c r="I426" s="33" t="s">
        <v>206</v>
      </c>
      <c r="J426" s="219"/>
      <c r="K426" s="34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</row>
    <row r="427">
      <c r="A427" s="45"/>
      <c r="B427" s="76">
        <v>45952.0</v>
      </c>
      <c r="C427" s="33" t="s">
        <v>1016</v>
      </c>
      <c r="D427" s="34"/>
      <c r="E427" s="33" t="s">
        <v>321</v>
      </c>
      <c r="F427" s="34"/>
      <c r="G427" s="35" t="s">
        <v>22</v>
      </c>
      <c r="H427" s="33" t="s">
        <v>148</v>
      </c>
      <c r="I427" s="33" t="s">
        <v>24</v>
      </c>
      <c r="J427" s="229">
        <v>45953.0</v>
      </c>
      <c r="K427" s="35" t="s">
        <v>36</v>
      </c>
    </row>
    <row r="428">
      <c r="A428" s="45"/>
      <c r="B428" s="76">
        <v>45952.0</v>
      </c>
      <c r="C428" s="33" t="s">
        <v>309</v>
      </c>
      <c r="D428" s="34"/>
      <c r="E428" s="33" t="s">
        <v>1803</v>
      </c>
      <c r="F428" s="34"/>
      <c r="G428" s="35" t="s">
        <v>22</v>
      </c>
      <c r="H428" s="33" t="s">
        <v>1804</v>
      </c>
      <c r="I428" s="33" t="s">
        <v>24</v>
      </c>
      <c r="J428" s="229">
        <v>45954.0</v>
      </c>
      <c r="K428" s="35" t="s">
        <v>25</v>
      </c>
    </row>
    <row r="429">
      <c r="A429" s="45"/>
      <c r="B429" s="245">
        <v>45953.0</v>
      </c>
      <c r="C429" s="33" t="s">
        <v>1805</v>
      </c>
      <c r="D429" s="34"/>
      <c r="E429" s="33" t="s">
        <v>1806</v>
      </c>
      <c r="F429" s="35" t="s">
        <v>1807</v>
      </c>
      <c r="G429" s="35" t="s">
        <v>22</v>
      </c>
      <c r="H429" s="33" t="s">
        <v>101</v>
      </c>
      <c r="I429" s="33" t="s">
        <v>36</v>
      </c>
      <c r="J429" s="229">
        <v>45953.0</v>
      </c>
      <c r="K429" s="35" t="s">
        <v>36</v>
      </c>
    </row>
    <row r="430">
      <c r="A430" s="45"/>
      <c r="B430" s="245">
        <v>45953.0</v>
      </c>
      <c r="C430" s="33" t="s">
        <v>33</v>
      </c>
      <c r="D430" s="34"/>
      <c r="E430" s="33" t="s">
        <v>1808</v>
      </c>
      <c r="F430" s="35" t="s">
        <v>1809</v>
      </c>
      <c r="G430" s="35" t="s">
        <v>22</v>
      </c>
      <c r="H430" s="33" t="s">
        <v>69</v>
      </c>
      <c r="I430" s="33" t="s">
        <v>36</v>
      </c>
      <c r="J430" s="249">
        <v>45957.0</v>
      </c>
      <c r="K430" s="35" t="s">
        <v>138</v>
      </c>
    </row>
    <row r="431">
      <c r="A431" s="45"/>
      <c r="B431" s="245">
        <v>45954.0</v>
      </c>
      <c r="C431" s="33" t="s">
        <v>1386</v>
      </c>
      <c r="D431" s="34"/>
      <c r="E431" s="33" t="s">
        <v>146</v>
      </c>
      <c r="F431" s="34"/>
      <c r="G431" s="35" t="s">
        <v>22</v>
      </c>
      <c r="H431" s="33" t="s">
        <v>69</v>
      </c>
      <c r="I431" s="33" t="s">
        <v>25</v>
      </c>
      <c r="J431" s="229">
        <v>45954.0</v>
      </c>
      <c r="K431" s="35" t="s">
        <v>25</v>
      </c>
    </row>
    <row r="432">
      <c r="A432" s="45"/>
      <c r="B432" s="245">
        <v>45954.0</v>
      </c>
      <c r="C432" s="33" t="s">
        <v>206</v>
      </c>
      <c r="D432" s="34"/>
      <c r="E432" s="33" t="s">
        <v>849</v>
      </c>
      <c r="F432" s="34"/>
      <c r="G432" s="35" t="s">
        <v>1810</v>
      </c>
      <c r="H432" s="33" t="s">
        <v>69</v>
      </c>
      <c r="I432" s="33" t="s">
        <v>25</v>
      </c>
      <c r="J432" s="229">
        <v>45954.0</v>
      </c>
      <c r="K432" s="35" t="s">
        <v>25</v>
      </c>
    </row>
    <row r="433">
      <c r="A433" s="45"/>
      <c r="B433" s="245">
        <v>45954.0</v>
      </c>
      <c r="C433" s="33" t="s">
        <v>1811</v>
      </c>
      <c r="D433" s="34"/>
      <c r="E433" s="33" t="s">
        <v>146</v>
      </c>
      <c r="F433" s="34"/>
      <c r="G433" s="35" t="s">
        <v>22</v>
      </c>
      <c r="H433" s="33" t="s">
        <v>1812</v>
      </c>
      <c r="I433" s="33" t="s">
        <v>25</v>
      </c>
      <c r="J433" s="229">
        <v>45954.0</v>
      </c>
      <c r="K433" s="35" t="s">
        <v>25</v>
      </c>
    </row>
    <row r="434">
      <c r="A434" s="110"/>
      <c r="B434" s="250">
        <v>45954.0</v>
      </c>
      <c r="C434" s="112" t="s">
        <v>75</v>
      </c>
      <c r="D434" s="114"/>
      <c r="E434" s="112" t="s">
        <v>1813</v>
      </c>
      <c r="F434" s="114"/>
      <c r="G434" s="113" t="s">
        <v>22</v>
      </c>
      <c r="H434" s="112" t="s">
        <v>1814</v>
      </c>
      <c r="I434" s="1" t="s">
        <v>25</v>
      </c>
      <c r="J434" s="26"/>
      <c r="K434" s="25"/>
    </row>
    <row r="435">
      <c r="A435" s="45"/>
      <c r="B435" s="245">
        <v>45954.0</v>
      </c>
      <c r="C435" s="33" t="s">
        <v>146</v>
      </c>
      <c r="D435" s="34"/>
      <c r="E435" s="33" t="s">
        <v>1788</v>
      </c>
      <c r="F435" s="34"/>
      <c r="G435" s="35" t="s">
        <v>22</v>
      </c>
      <c r="H435" s="33" t="s">
        <v>1798</v>
      </c>
      <c r="I435" s="33" t="s">
        <v>25</v>
      </c>
      <c r="J435" s="229">
        <v>45954.0</v>
      </c>
      <c r="K435" s="35" t="s">
        <v>25</v>
      </c>
    </row>
    <row r="436">
      <c r="A436" s="58"/>
      <c r="B436" s="251">
        <v>45954.0</v>
      </c>
      <c r="C436" s="60" t="s">
        <v>465</v>
      </c>
      <c r="D436" s="61"/>
      <c r="E436" s="60" t="s">
        <v>1815</v>
      </c>
      <c r="F436" s="61"/>
      <c r="G436" s="62" t="s">
        <v>22</v>
      </c>
      <c r="H436" s="60" t="s">
        <v>1816</v>
      </c>
      <c r="I436" s="60" t="s">
        <v>25</v>
      </c>
      <c r="J436" s="252">
        <v>45955.0</v>
      </c>
      <c r="K436" s="62" t="s">
        <v>24</v>
      </c>
    </row>
    <row r="437">
      <c r="A437" s="45"/>
      <c r="B437" s="245">
        <v>45954.0</v>
      </c>
      <c r="C437" s="33" t="s">
        <v>1817</v>
      </c>
      <c r="D437" s="34"/>
      <c r="E437" s="33" t="s">
        <v>146</v>
      </c>
      <c r="F437" s="34"/>
      <c r="G437" s="35" t="s">
        <v>22</v>
      </c>
      <c r="H437" s="33" t="s">
        <v>1818</v>
      </c>
      <c r="I437" s="33" t="s">
        <v>24</v>
      </c>
      <c r="J437" s="219"/>
      <c r="K437" s="34"/>
    </row>
    <row r="438">
      <c r="A438" s="45"/>
      <c r="B438" s="76">
        <v>45957.0</v>
      </c>
      <c r="C438" s="33" t="s">
        <v>206</v>
      </c>
      <c r="D438" s="34"/>
      <c r="E438" s="33" t="s">
        <v>1819</v>
      </c>
      <c r="F438" s="34"/>
      <c r="G438" s="35" t="s">
        <v>22</v>
      </c>
      <c r="H438" s="33" t="s">
        <v>148</v>
      </c>
      <c r="I438" s="33" t="s">
        <v>95</v>
      </c>
      <c r="J438" s="218" t="s">
        <v>1820</v>
      </c>
      <c r="K438" s="35" t="s">
        <v>138</v>
      </c>
    </row>
    <row r="439">
      <c r="A439" s="45"/>
      <c r="B439" s="76">
        <v>45957.0</v>
      </c>
      <c r="C439" s="33" t="s">
        <v>1435</v>
      </c>
      <c r="D439" s="34"/>
      <c r="E439" s="33" t="s">
        <v>1821</v>
      </c>
      <c r="F439" s="34"/>
      <c r="G439" s="35" t="s">
        <v>22</v>
      </c>
      <c r="H439" s="33" t="s">
        <v>148</v>
      </c>
      <c r="I439" s="33" t="s">
        <v>95</v>
      </c>
      <c r="J439" s="218" t="s">
        <v>1822</v>
      </c>
      <c r="K439" s="35" t="s">
        <v>95</v>
      </c>
    </row>
    <row r="440">
      <c r="A440" s="45"/>
      <c r="B440" s="76">
        <v>45957.0</v>
      </c>
      <c r="C440" s="33" t="s">
        <v>243</v>
      </c>
      <c r="D440" s="34"/>
      <c r="E440" s="33" t="s">
        <v>1823</v>
      </c>
      <c r="F440" s="34"/>
      <c r="G440" s="35" t="s">
        <v>1824</v>
      </c>
      <c r="H440" s="33" t="s">
        <v>1825</v>
      </c>
      <c r="I440" s="33" t="s">
        <v>95</v>
      </c>
      <c r="J440" s="218" t="s">
        <v>1822</v>
      </c>
      <c r="K440" s="35" t="s">
        <v>95</v>
      </c>
    </row>
    <row r="441">
      <c r="A441" s="45"/>
      <c r="B441" s="76">
        <v>45957.0</v>
      </c>
      <c r="C441" s="33" t="s">
        <v>146</v>
      </c>
      <c r="D441" s="34"/>
      <c r="E441" s="33" t="s">
        <v>1826</v>
      </c>
      <c r="F441" s="34"/>
      <c r="G441" s="35" t="s">
        <v>22</v>
      </c>
      <c r="H441" s="33" t="s">
        <v>1827</v>
      </c>
      <c r="I441" s="33" t="s">
        <v>95</v>
      </c>
      <c r="J441" s="218" t="s">
        <v>1828</v>
      </c>
      <c r="K441" s="35" t="s">
        <v>33</v>
      </c>
    </row>
    <row r="442">
      <c r="A442" s="58"/>
      <c r="B442" s="77">
        <v>45957.0</v>
      </c>
      <c r="C442" s="60" t="s">
        <v>146</v>
      </c>
      <c r="D442" s="61"/>
      <c r="E442" s="60" t="s">
        <v>1797</v>
      </c>
      <c r="F442" s="61"/>
      <c r="G442" s="62" t="s">
        <v>22</v>
      </c>
      <c r="H442" s="60" t="s">
        <v>678</v>
      </c>
      <c r="I442" s="60" t="s">
        <v>95</v>
      </c>
      <c r="J442" s="253">
        <v>45966.0</v>
      </c>
      <c r="K442" s="62" t="s">
        <v>24</v>
      </c>
    </row>
    <row r="443">
      <c r="A443" s="45"/>
      <c r="B443" s="76">
        <v>45959.0</v>
      </c>
      <c r="C443" s="33" t="s">
        <v>1829</v>
      </c>
      <c r="D443" s="35">
        <v>9.88093575E8</v>
      </c>
      <c r="E443" s="33" t="s">
        <v>146</v>
      </c>
      <c r="F443" s="34"/>
      <c r="G443" s="35" t="s">
        <v>22</v>
      </c>
      <c r="H443" s="33" t="s">
        <v>1830</v>
      </c>
      <c r="I443" s="33" t="s">
        <v>33</v>
      </c>
      <c r="J443" s="218" t="s">
        <v>1831</v>
      </c>
      <c r="K443" s="35" t="s">
        <v>33</v>
      </c>
    </row>
    <row r="444">
      <c r="A444" s="45"/>
      <c r="B444" s="76">
        <v>45959.0</v>
      </c>
      <c r="C444" s="33" t="s">
        <v>1832</v>
      </c>
      <c r="D444" s="34"/>
      <c r="E444" s="33" t="s">
        <v>1372</v>
      </c>
      <c r="F444" s="34"/>
      <c r="G444" s="35" t="s">
        <v>22</v>
      </c>
      <c r="H444" s="33" t="s">
        <v>1372</v>
      </c>
      <c r="I444" s="33" t="s">
        <v>33</v>
      </c>
      <c r="J444" s="254">
        <v>45964.0</v>
      </c>
      <c r="K444" s="35" t="s">
        <v>25</v>
      </c>
    </row>
    <row r="445">
      <c r="B445" s="245">
        <v>45960.0</v>
      </c>
      <c r="C445" s="33" t="s">
        <v>36</v>
      </c>
      <c r="D445" s="35"/>
      <c r="E445" s="33" t="s">
        <v>1833</v>
      </c>
      <c r="F445" s="34"/>
      <c r="G445" s="35" t="s">
        <v>1834</v>
      </c>
      <c r="H445" s="33" t="s">
        <v>1835</v>
      </c>
      <c r="I445" s="33" t="s">
        <v>36</v>
      </c>
      <c r="J445" s="229">
        <v>45960.0</v>
      </c>
      <c r="K445" s="35" t="s">
        <v>36</v>
      </c>
    </row>
    <row r="446">
      <c r="A446" s="45"/>
      <c r="B446" s="245">
        <v>45960.0</v>
      </c>
      <c r="C446" s="33" t="s">
        <v>36</v>
      </c>
      <c r="D446" s="35"/>
      <c r="E446" s="33" t="s">
        <v>534</v>
      </c>
      <c r="F446" s="35" t="s">
        <v>1836</v>
      </c>
      <c r="G446" s="35" t="s">
        <v>22</v>
      </c>
      <c r="H446" s="33" t="s">
        <v>1837</v>
      </c>
      <c r="I446" s="33" t="s">
        <v>36</v>
      </c>
      <c r="J446" s="254">
        <v>45964.0</v>
      </c>
      <c r="K446" s="35" t="s">
        <v>25</v>
      </c>
    </row>
    <row r="447">
      <c r="B447" s="245">
        <v>45960.0</v>
      </c>
      <c r="C447" s="33" t="s">
        <v>36</v>
      </c>
      <c r="D447" s="34"/>
      <c r="E447" s="33" t="s">
        <v>1838</v>
      </c>
      <c r="F447" s="35" t="s">
        <v>1839</v>
      </c>
      <c r="G447" s="35" t="s">
        <v>22</v>
      </c>
      <c r="H447" s="33" t="s">
        <v>1840</v>
      </c>
      <c r="I447" s="33" t="s">
        <v>36</v>
      </c>
      <c r="J447" s="254">
        <v>45967.0</v>
      </c>
      <c r="K447" s="35" t="s">
        <v>36</v>
      </c>
    </row>
    <row r="448">
      <c r="A448" s="45"/>
      <c r="B448" s="245">
        <v>45960.0</v>
      </c>
      <c r="C448" s="33" t="s">
        <v>36</v>
      </c>
      <c r="D448" s="35"/>
      <c r="E448" s="33" t="s">
        <v>1004</v>
      </c>
      <c r="F448" s="35" t="s">
        <v>1613</v>
      </c>
      <c r="G448" s="35" t="s">
        <v>22</v>
      </c>
      <c r="H448" s="33" t="s">
        <v>1841</v>
      </c>
      <c r="I448" s="33" t="s">
        <v>36</v>
      </c>
      <c r="J448" s="254">
        <v>45964.0</v>
      </c>
      <c r="K448" s="35" t="s">
        <v>25</v>
      </c>
    </row>
    <row r="449">
      <c r="B449" s="245">
        <v>45960.0</v>
      </c>
      <c r="C449" s="33" t="s">
        <v>36</v>
      </c>
      <c r="D449" s="35"/>
      <c r="E449" s="33" t="s">
        <v>986</v>
      </c>
      <c r="F449" s="35" t="s">
        <v>1842</v>
      </c>
      <c r="G449" s="35" t="s">
        <v>22</v>
      </c>
      <c r="H449" s="33" t="s">
        <v>133</v>
      </c>
      <c r="I449" s="33" t="s">
        <v>36</v>
      </c>
      <c r="J449" s="229">
        <v>45960.0</v>
      </c>
      <c r="K449" s="35" t="s">
        <v>36</v>
      </c>
    </row>
    <row r="450">
      <c r="A450" s="45"/>
      <c r="B450" s="245">
        <v>45960.0</v>
      </c>
      <c r="C450" s="33" t="s">
        <v>36</v>
      </c>
      <c r="D450" s="35"/>
      <c r="E450" s="33" t="s">
        <v>1843</v>
      </c>
      <c r="F450" s="35" t="s">
        <v>1844</v>
      </c>
      <c r="G450" s="35" t="s">
        <v>22</v>
      </c>
      <c r="H450" s="33" t="s">
        <v>613</v>
      </c>
      <c r="I450" s="33" t="s">
        <v>206</v>
      </c>
      <c r="J450" s="254">
        <v>45964.0</v>
      </c>
      <c r="K450" s="35" t="s">
        <v>25</v>
      </c>
    </row>
    <row r="451">
      <c r="A451" s="45"/>
      <c r="B451" s="245">
        <v>45960.0</v>
      </c>
      <c r="C451" s="33" t="s">
        <v>36</v>
      </c>
      <c r="D451" s="35"/>
      <c r="E451" s="33" t="s">
        <v>1845</v>
      </c>
      <c r="F451" s="35" t="s">
        <v>1846</v>
      </c>
      <c r="G451" s="35" t="s">
        <v>22</v>
      </c>
      <c r="H451" s="33" t="s">
        <v>1847</v>
      </c>
      <c r="I451" s="33" t="s">
        <v>36</v>
      </c>
      <c r="J451" s="254">
        <v>45969.0</v>
      </c>
      <c r="K451" s="35" t="s">
        <v>130</v>
      </c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</row>
    <row r="452">
      <c r="A452" s="45"/>
      <c r="B452" s="245">
        <v>45960.0</v>
      </c>
      <c r="C452" s="33" t="s">
        <v>36</v>
      </c>
      <c r="D452" s="35"/>
      <c r="E452" s="33" t="s">
        <v>986</v>
      </c>
      <c r="F452" s="35" t="s">
        <v>1848</v>
      </c>
      <c r="G452" s="35" t="s">
        <v>22</v>
      </c>
      <c r="H452" s="33" t="s">
        <v>1849</v>
      </c>
      <c r="I452" s="33" t="s">
        <v>36</v>
      </c>
      <c r="J452" s="229">
        <v>45960.0</v>
      </c>
      <c r="K452" s="35" t="s">
        <v>36</v>
      </c>
    </row>
    <row r="453">
      <c r="B453" s="245">
        <v>45960.0</v>
      </c>
      <c r="C453" s="33" t="s">
        <v>36</v>
      </c>
      <c r="D453" s="35"/>
      <c r="E453" s="33" t="s">
        <v>1020</v>
      </c>
      <c r="F453" s="35" t="s">
        <v>1850</v>
      </c>
      <c r="G453" s="35" t="s">
        <v>22</v>
      </c>
      <c r="H453" s="33" t="s">
        <v>1849</v>
      </c>
      <c r="I453" s="33" t="s">
        <v>36</v>
      </c>
      <c r="J453" s="229">
        <v>45960.0</v>
      </c>
      <c r="K453" s="35" t="s">
        <v>36</v>
      </c>
    </row>
    <row r="454">
      <c r="A454" s="45"/>
      <c r="B454" s="245">
        <v>45960.0</v>
      </c>
      <c r="C454" s="33" t="s">
        <v>36</v>
      </c>
      <c r="D454" s="35"/>
      <c r="E454" s="33" t="s">
        <v>244</v>
      </c>
      <c r="F454" s="34"/>
      <c r="G454" s="35" t="s">
        <v>62</v>
      </c>
      <c r="H454" s="33" t="s">
        <v>1851</v>
      </c>
      <c r="I454" s="33" t="s">
        <v>36</v>
      </c>
      <c r="J454" s="254">
        <v>45967.0</v>
      </c>
      <c r="K454" s="35" t="s">
        <v>36</v>
      </c>
    </row>
    <row r="455">
      <c r="B455" s="245">
        <v>45960.0</v>
      </c>
      <c r="C455" s="33" t="s">
        <v>343</v>
      </c>
      <c r="D455" s="34"/>
      <c r="E455" s="33" t="s">
        <v>1852</v>
      </c>
      <c r="F455" s="35" t="s">
        <v>1853</v>
      </c>
      <c r="G455" s="35" t="s">
        <v>1854</v>
      </c>
      <c r="H455" s="33" t="s">
        <v>272</v>
      </c>
      <c r="I455" s="33" t="s">
        <v>36</v>
      </c>
      <c r="J455" s="229">
        <v>45960.0</v>
      </c>
      <c r="K455" s="35" t="s">
        <v>36</v>
      </c>
    </row>
    <row r="456">
      <c r="A456" s="45"/>
      <c r="B456" s="245">
        <v>45960.0</v>
      </c>
      <c r="C456" s="33" t="s">
        <v>1855</v>
      </c>
      <c r="D456" s="34">
        <f>56984008725</f>
        <v>56984008725</v>
      </c>
      <c r="E456" s="33" t="s">
        <v>190</v>
      </c>
      <c r="F456" s="34"/>
      <c r="G456" s="35" t="s">
        <v>22</v>
      </c>
      <c r="H456" s="33" t="s">
        <v>1856</v>
      </c>
      <c r="I456" s="33" t="s">
        <v>36</v>
      </c>
      <c r="J456" s="229">
        <v>45960.0</v>
      </c>
      <c r="K456" s="35" t="s">
        <v>36</v>
      </c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</row>
    <row r="457">
      <c r="A457" s="45"/>
      <c r="B457" s="245">
        <v>45960.0</v>
      </c>
      <c r="C457" s="33" t="s">
        <v>1767</v>
      </c>
      <c r="D457" s="35">
        <v>9.1592146E7</v>
      </c>
      <c r="E457" s="33" t="s">
        <v>190</v>
      </c>
      <c r="F457" s="34"/>
      <c r="G457" s="35" t="s">
        <v>22</v>
      </c>
      <c r="H457" s="33" t="s">
        <v>1857</v>
      </c>
      <c r="I457" s="33" t="s">
        <v>36</v>
      </c>
      <c r="J457" s="229">
        <v>45960.0</v>
      </c>
      <c r="K457" s="35" t="s">
        <v>36</v>
      </c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</row>
    <row r="458">
      <c r="B458" s="245">
        <v>45960.0</v>
      </c>
      <c r="C458" s="33" t="s">
        <v>44</v>
      </c>
      <c r="D458" s="34"/>
      <c r="E458" s="33" t="s">
        <v>1858</v>
      </c>
      <c r="F458" s="34"/>
      <c r="G458" s="35" t="s">
        <v>22</v>
      </c>
      <c r="H458" s="33" t="s">
        <v>565</v>
      </c>
      <c r="I458" s="33" t="s">
        <v>36</v>
      </c>
      <c r="J458" s="229">
        <v>45960.0</v>
      </c>
      <c r="K458" s="35" t="s">
        <v>36</v>
      </c>
    </row>
    <row r="459">
      <c r="A459" s="45"/>
      <c r="B459" s="245">
        <v>45960.0</v>
      </c>
      <c r="C459" s="33" t="s">
        <v>36</v>
      </c>
      <c r="D459" s="35"/>
      <c r="E459" s="33" t="s">
        <v>1859</v>
      </c>
      <c r="F459" s="35" t="s">
        <v>1860</v>
      </c>
      <c r="G459" s="35" t="s">
        <v>22</v>
      </c>
      <c r="H459" s="33"/>
      <c r="I459" s="33" t="s">
        <v>1861</v>
      </c>
      <c r="J459" s="33" t="s">
        <v>36</v>
      </c>
      <c r="K459" s="218" t="s">
        <v>1862</v>
      </c>
      <c r="L459" s="35" t="s">
        <v>33</v>
      </c>
    </row>
    <row r="460">
      <c r="A460" s="80"/>
      <c r="B460" s="255">
        <v>45960.0</v>
      </c>
      <c r="C460" s="80" t="s">
        <v>36</v>
      </c>
      <c r="D460" s="83"/>
      <c r="E460" s="80" t="s">
        <v>1312</v>
      </c>
      <c r="F460" s="83" t="s">
        <v>1863</v>
      </c>
      <c r="G460" s="83" t="s">
        <v>22</v>
      </c>
      <c r="H460" s="80"/>
      <c r="I460" s="80" t="s">
        <v>77</v>
      </c>
      <c r="J460" s="175" t="s">
        <v>36</v>
      </c>
      <c r="K460" s="248">
        <v>45974.0</v>
      </c>
      <c r="L460" s="80" t="s">
        <v>36</v>
      </c>
    </row>
    <row r="461">
      <c r="A461" s="45"/>
      <c r="B461" s="69">
        <v>45964.0</v>
      </c>
      <c r="C461" s="33" t="s">
        <v>146</v>
      </c>
      <c r="D461" s="34"/>
      <c r="E461" s="33" t="s">
        <v>1864</v>
      </c>
      <c r="F461" s="34"/>
      <c r="G461" s="35" t="s">
        <v>22</v>
      </c>
      <c r="H461" s="33" t="s">
        <v>1865</v>
      </c>
      <c r="I461" s="33" t="s">
        <v>25</v>
      </c>
      <c r="J461" s="254">
        <v>45964.0</v>
      </c>
      <c r="K461" s="35" t="s">
        <v>25</v>
      </c>
    </row>
    <row r="462">
      <c r="A462" s="45"/>
      <c r="B462" s="69">
        <v>45964.0</v>
      </c>
      <c r="C462" s="33" t="s">
        <v>1866</v>
      </c>
      <c r="D462" s="34"/>
      <c r="E462" s="33" t="s">
        <v>1867</v>
      </c>
      <c r="F462" s="34"/>
      <c r="G462" s="35" t="s">
        <v>22</v>
      </c>
      <c r="H462" s="33" t="s">
        <v>1868</v>
      </c>
      <c r="I462" s="33" t="s">
        <v>25</v>
      </c>
      <c r="J462" s="254">
        <v>45964.0</v>
      </c>
      <c r="K462" s="35" t="s">
        <v>25</v>
      </c>
    </row>
    <row r="463">
      <c r="A463" s="58"/>
      <c r="B463" s="156">
        <v>45965.0</v>
      </c>
      <c r="C463" s="60" t="s">
        <v>465</v>
      </c>
      <c r="D463" s="61"/>
      <c r="E463" s="60" t="s">
        <v>1869</v>
      </c>
      <c r="F463" s="62" t="s">
        <v>1870</v>
      </c>
      <c r="G463" s="62" t="s">
        <v>22</v>
      </c>
      <c r="H463" s="60" t="s">
        <v>1871</v>
      </c>
      <c r="I463" s="60" t="s">
        <v>33</v>
      </c>
      <c r="J463" s="253">
        <v>45966.0</v>
      </c>
      <c r="K463" s="62" t="s">
        <v>24</v>
      </c>
    </row>
    <row r="464">
      <c r="B464" s="69">
        <v>45965.0</v>
      </c>
      <c r="C464" s="33" t="s">
        <v>197</v>
      </c>
      <c r="D464" s="34"/>
      <c r="E464" s="33" t="s">
        <v>1872</v>
      </c>
      <c r="F464" s="35" t="s">
        <v>1873</v>
      </c>
      <c r="G464" s="35" t="s">
        <v>22</v>
      </c>
      <c r="H464" s="33" t="s">
        <v>1874</v>
      </c>
      <c r="I464" s="33" t="s">
        <v>400</v>
      </c>
      <c r="J464" s="254">
        <v>45968.0</v>
      </c>
      <c r="K464" s="35" t="s">
        <v>25</v>
      </c>
    </row>
    <row r="465">
      <c r="A465" s="58"/>
      <c r="B465" s="156">
        <v>45965.0</v>
      </c>
      <c r="C465" s="60" t="s">
        <v>149</v>
      </c>
      <c r="D465" s="61"/>
      <c r="E465" s="60" t="s">
        <v>1875</v>
      </c>
      <c r="F465" s="61"/>
      <c r="G465" s="62" t="s">
        <v>289</v>
      </c>
      <c r="H465" s="60" t="s">
        <v>1876</v>
      </c>
      <c r="I465" s="60" t="s">
        <v>33</v>
      </c>
      <c r="J465" s="253">
        <v>45966.0</v>
      </c>
      <c r="K465" s="62" t="s">
        <v>24</v>
      </c>
    </row>
    <row r="466">
      <c r="A466" s="58"/>
      <c r="B466" s="156">
        <v>45966.0</v>
      </c>
      <c r="C466" s="60" t="s">
        <v>44</v>
      </c>
      <c r="D466" s="61"/>
      <c r="E466" s="60" t="s">
        <v>1877</v>
      </c>
      <c r="F466" s="61"/>
      <c r="G466" s="62" t="s">
        <v>22</v>
      </c>
      <c r="H466" s="60" t="s">
        <v>1878</v>
      </c>
      <c r="I466" s="60" t="s">
        <v>24</v>
      </c>
      <c r="J466" s="253">
        <v>45966.0</v>
      </c>
      <c r="K466" s="62" t="s">
        <v>24</v>
      </c>
    </row>
    <row r="467">
      <c r="A467" s="45"/>
      <c r="B467" s="69">
        <v>45966.0</v>
      </c>
      <c r="C467" s="33" t="s">
        <v>44</v>
      </c>
      <c r="D467" s="34"/>
      <c r="E467" s="33" t="s">
        <v>1817</v>
      </c>
      <c r="F467" s="34"/>
      <c r="G467" s="35" t="s">
        <v>22</v>
      </c>
      <c r="H467" s="33" t="s">
        <v>1879</v>
      </c>
      <c r="I467" s="33" t="s">
        <v>24</v>
      </c>
      <c r="J467" s="254">
        <v>45969.0</v>
      </c>
      <c r="K467" s="35" t="s">
        <v>130</v>
      </c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</row>
    <row r="468">
      <c r="A468" s="15"/>
      <c r="B468" s="64">
        <v>45966.0</v>
      </c>
      <c r="C468" s="15" t="s">
        <v>321</v>
      </c>
      <c r="D468" s="67" t="s">
        <v>1880</v>
      </c>
      <c r="E468" s="65" t="s">
        <v>1370</v>
      </c>
      <c r="F468" s="66"/>
      <c r="G468" s="67" t="s">
        <v>22</v>
      </c>
      <c r="H468" s="65" t="s">
        <v>1881</v>
      </c>
      <c r="I468" s="65" t="s">
        <v>24</v>
      </c>
      <c r="J468" s="256">
        <v>45968.0</v>
      </c>
      <c r="K468" s="67" t="s">
        <v>25</v>
      </c>
    </row>
    <row r="469">
      <c r="A469" s="45"/>
      <c r="B469" s="69">
        <v>45966.0</v>
      </c>
      <c r="C469" s="33" t="s">
        <v>44</v>
      </c>
      <c r="D469" s="34"/>
      <c r="E469" s="33" t="s">
        <v>1882</v>
      </c>
      <c r="F469" s="34"/>
      <c r="G469" s="35" t="s">
        <v>22</v>
      </c>
      <c r="H469" s="33"/>
      <c r="I469" s="33" t="s">
        <v>1883</v>
      </c>
      <c r="J469" s="218" t="s">
        <v>24</v>
      </c>
      <c r="K469" s="257">
        <v>45974.0</v>
      </c>
      <c r="L469" s="33" t="s">
        <v>36</v>
      </c>
    </row>
    <row r="470">
      <c r="A470" s="58"/>
      <c r="B470" s="156">
        <v>45966.0</v>
      </c>
      <c r="C470" s="58" t="s">
        <v>321</v>
      </c>
      <c r="D470" s="61"/>
      <c r="E470" s="60" t="s">
        <v>913</v>
      </c>
      <c r="F470" s="62" t="s">
        <v>1884</v>
      </c>
      <c r="G470" s="62" t="s">
        <v>22</v>
      </c>
      <c r="H470" s="60"/>
      <c r="I470" s="60" t="s">
        <v>1881</v>
      </c>
      <c r="J470" s="216" t="s">
        <v>24</v>
      </c>
      <c r="K470" s="258">
        <v>45975.0</v>
      </c>
      <c r="L470" s="58" t="s">
        <v>24</v>
      </c>
    </row>
    <row r="471">
      <c r="A471" s="45"/>
      <c r="B471" s="69">
        <v>45966.0</v>
      </c>
      <c r="C471" s="45" t="s">
        <v>321</v>
      </c>
      <c r="D471" s="35" t="s">
        <v>1885</v>
      </c>
      <c r="E471" s="33" t="s">
        <v>1886</v>
      </c>
      <c r="F471" s="35" t="s">
        <v>1887</v>
      </c>
      <c r="G471" s="35" t="s">
        <v>22</v>
      </c>
      <c r="H471" s="33"/>
      <c r="I471" s="33" t="s">
        <v>1881</v>
      </c>
      <c r="J471" s="218" t="s">
        <v>24</v>
      </c>
      <c r="K471" s="259">
        <v>45971.0</v>
      </c>
      <c r="L471" s="33" t="s">
        <v>95</v>
      </c>
    </row>
    <row r="472">
      <c r="A472" s="45"/>
      <c r="B472" s="69">
        <v>45967.0</v>
      </c>
      <c r="C472" s="33" t="s">
        <v>1888</v>
      </c>
      <c r="D472" s="35">
        <v>9.86807791E8</v>
      </c>
      <c r="E472" s="33" t="s">
        <v>37</v>
      </c>
      <c r="F472" s="34"/>
      <c r="G472" s="35" t="s">
        <v>22</v>
      </c>
      <c r="H472" s="33"/>
      <c r="I472" s="33" t="s">
        <v>1889</v>
      </c>
      <c r="J472" s="218" t="s">
        <v>36</v>
      </c>
      <c r="K472" s="34"/>
      <c r="L472" s="45"/>
    </row>
    <row r="473">
      <c r="B473" s="69">
        <v>45967.0</v>
      </c>
      <c r="C473" s="33" t="s">
        <v>33</v>
      </c>
      <c r="D473" s="35" t="s">
        <v>1890</v>
      </c>
      <c r="E473" s="33" t="s">
        <v>1891</v>
      </c>
      <c r="F473" s="35" t="s">
        <v>1892</v>
      </c>
      <c r="G473" s="35" t="s">
        <v>22</v>
      </c>
      <c r="H473" s="33"/>
      <c r="I473" s="33" t="s">
        <v>1893</v>
      </c>
      <c r="J473" s="218" t="s">
        <v>33</v>
      </c>
      <c r="K473" s="260">
        <v>45968.0</v>
      </c>
      <c r="L473" s="33" t="s">
        <v>25</v>
      </c>
    </row>
    <row r="474">
      <c r="A474" s="45"/>
      <c r="B474" s="69">
        <v>45968.0</v>
      </c>
      <c r="C474" s="33" t="s">
        <v>149</v>
      </c>
      <c r="D474" s="34"/>
      <c r="E474" s="33" t="s">
        <v>1894</v>
      </c>
      <c r="F474" s="34"/>
      <c r="G474" s="35" t="s">
        <v>22</v>
      </c>
      <c r="H474" s="33"/>
      <c r="I474" s="33" t="s">
        <v>1895</v>
      </c>
      <c r="J474" s="218" t="s">
        <v>25</v>
      </c>
      <c r="K474" s="260">
        <v>45969.0</v>
      </c>
      <c r="L474" s="33" t="s">
        <v>130</v>
      </c>
    </row>
    <row r="475">
      <c r="B475" s="69">
        <v>45968.0</v>
      </c>
      <c r="C475" s="33" t="s">
        <v>149</v>
      </c>
      <c r="D475" s="34"/>
      <c r="E475" s="33" t="s">
        <v>1896</v>
      </c>
      <c r="F475" s="34"/>
      <c r="G475" s="35" t="s">
        <v>22</v>
      </c>
      <c r="H475" s="33"/>
      <c r="I475" s="33" t="s">
        <v>1754</v>
      </c>
      <c r="J475" s="218" t="s">
        <v>25</v>
      </c>
      <c r="K475" s="260">
        <v>45968.0</v>
      </c>
      <c r="L475" s="33" t="s">
        <v>25</v>
      </c>
    </row>
    <row r="476">
      <c r="B476" s="69">
        <v>45968.0</v>
      </c>
      <c r="C476" s="33" t="s">
        <v>243</v>
      </c>
      <c r="D476" s="34"/>
      <c r="E476" s="33" t="s">
        <v>1897</v>
      </c>
      <c r="F476" s="35" t="s">
        <v>1897</v>
      </c>
      <c r="G476" s="35" t="s">
        <v>22</v>
      </c>
      <c r="H476" s="33"/>
      <c r="I476" s="33" t="s">
        <v>1898</v>
      </c>
      <c r="J476" s="218" t="s">
        <v>25</v>
      </c>
      <c r="K476" s="260">
        <v>45968.0</v>
      </c>
      <c r="L476" s="33" t="s">
        <v>25</v>
      </c>
    </row>
    <row r="477">
      <c r="A477" s="45"/>
      <c r="B477" s="69">
        <v>45968.0</v>
      </c>
      <c r="C477" s="33" t="s">
        <v>1899</v>
      </c>
      <c r="D477" s="34"/>
      <c r="E477" s="33" t="s">
        <v>197</v>
      </c>
      <c r="F477" s="34"/>
      <c r="G477" s="35" t="s">
        <v>22</v>
      </c>
      <c r="H477" s="33" t="s">
        <v>68</v>
      </c>
      <c r="I477" s="33" t="s">
        <v>1900</v>
      </c>
      <c r="J477" s="218" t="s">
        <v>25</v>
      </c>
      <c r="K477" s="257">
        <v>45973.0</v>
      </c>
      <c r="L477" s="33" t="s">
        <v>130</v>
      </c>
    </row>
    <row r="478">
      <c r="A478" s="33" t="s">
        <v>1901</v>
      </c>
      <c r="B478" s="69">
        <v>45969.0</v>
      </c>
      <c r="C478" s="33" t="s">
        <v>149</v>
      </c>
      <c r="D478" s="34"/>
      <c r="E478" s="33" t="s">
        <v>1902</v>
      </c>
      <c r="F478" s="34"/>
      <c r="G478" s="35" t="s">
        <v>55</v>
      </c>
      <c r="H478" s="33"/>
      <c r="I478" s="33" t="s">
        <v>1903</v>
      </c>
      <c r="J478" s="218" t="s">
        <v>130</v>
      </c>
      <c r="K478" s="260">
        <v>45969.0</v>
      </c>
      <c r="L478" s="33" t="s">
        <v>130</v>
      </c>
    </row>
    <row r="479">
      <c r="A479" s="45"/>
      <c r="B479" s="69">
        <v>45969.0</v>
      </c>
      <c r="C479" s="33" t="s">
        <v>149</v>
      </c>
      <c r="D479" s="34"/>
      <c r="E479" s="33" t="s">
        <v>1904</v>
      </c>
      <c r="F479" s="34"/>
      <c r="G479" s="35" t="s">
        <v>22</v>
      </c>
      <c r="H479" s="33"/>
      <c r="I479" s="33" t="s">
        <v>1905</v>
      </c>
      <c r="J479" s="45"/>
      <c r="K479" s="229">
        <v>45985.0</v>
      </c>
      <c r="L479" s="35" t="s">
        <v>206</v>
      </c>
    </row>
    <row r="480">
      <c r="A480" s="45"/>
      <c r="B480" s="69">
        <v>45969.0</v>
      </c>
      <c r="C480" s="33" t="s">
        <v>149</v>
      </c>
      <c r="D480" s="34"/>
      <c r="E480" s="33" t="s">
        <v>1906</v>
      </c>
      <c r="F480" s="34"/>
      <c r="G480" s="35" t="s">
        <v>55</v>
      </c>
      <c r="H480" s="33"/>
      <c r="I480" s="33" t="s">
        <v>1907</v>
      </c>
      <c r="J480" s="218" t="s">
        <v>130</v>
      </c>
      <c r="K480" s="260">
        <v>45969.0</v>
      </c>
      <c r="L480" s="33" t="s">
        <v>130</v>
      </c>
    </row>
    <row r="481">
      <c r="B481" s="76">
        <v>45971.0</v>
      </c>
      <c r="C481" s="33" t="s">
        <v>146</v>
      </c>
      <c r="D481" s="34"/>
      <c r="E481" s="33" t="s">
        <v>1908</v>
      </c>
      <c r="F481" s="34"/>
      <c r="G481" s="35" t="s">
        <v>22</v>
      </c>
      <c r="H481" s="33"/>
      <c r="I481" s="33" t="s">
        <v>1909</v>
      </c>
      <c r="J481" s="218" t="s">
        <v>95</v>
      </c>
      <c r="K481" s="257">
        <v>45972.0</v>
      </c>
      <c r="L481" s="33" t="s">
        <v>33</v>
      </c>
    </row>
    <row r="482">
      <c r="B482" s="76">
        <v>45971.0</v>
      </c>
      <c r="C482" s="33" t="s">
        <v>149</v>
      </c>
      <c r="D482" s="34"/>
      <c r="E482" s="33" t="s">
        <v>1910</v>
      </c>
      <c r="F482" s="34"/>
      <c r="G482" s="35" t="s">
        <v>22</v>
      </c>
      <c r="H482" s="33"/>
      <c r="I482" s="33" t="s">
        <v>181</v>
      </c>
      <c r="J482" s="218" t="s">
        <v>95</v>
      </c>
      <c r="K482" s="257">
        <v>45972.0</v>
      </c>
      <c r="L482" s="33" t="s">
        <v>33</v>
      </c>
    </row>
    <row r="483">
      <c r="B483" s="76">
        <v>45972.0</v>
      </c>
      <c r="C483" s="33" t="s">
        <v>1888</v>
      </c>
      <c r="D483" s="34"/>
      <c r="E483" s="33" t="s">
        <v>29</v>
      </c>
      <c r="F483" s="34"/>
      <c r="G483" s="35" t="s">
        <v>22</v>
      </c>
      <c r="H483" s="33"/>
      <c r="I483" s="33" t="s">
        <v>1911</v>
      </c>
      <c r="J483" s="218" t="s">
        <v>33</v>
      </c>
      <c r="K483" s="257">
        <v>45972.0</v>
      </c>
      <c r="L483" s="33" t="s">
        <v>33</v>
      </c>
    </row>
    <row r="484">
      <c r="A484" s="45"/>
      <c r="B484" s="261">
        <v>45972.0</v>
      </c>
      <c r="C484" s="33" t="s">
        <v>75</v>
      </c>
      <c r="D484" s="34"/>
      <c r="E484" s="33" t="s">
        <v>1912</v>
      </c>
      <c r="F484" s="35" t="s">
        <v>1913</v>
      </c>
      <c r="G484" s="35" t="s">
        <v>22</v>
      </c>
      <c r="H484" s="33" t="s">
        <v>199</v>
      </c>
      <c r="I484" s="33" t="s">
        <v>1914</v>
      </c>
      <c r="J484" s="218" t="s">
        <v>33</v>
      </c>
      <c r="K484" s="257">
        <v>45973.0</v>
      </c>
      <c r="L484" s="33" t="s">
        <v>130</v>
      </c>
    </row>
    <row r="485">
      <c r="A485" s="45"/>
      <c r="B485" s="76">
        <v>45972.0</v>
      </c>
      <c r="C485" s="33" t="s">
        <v>75</v>
      </c>
      <c r="D485" s="34"/>
      <c r="E485" s="33" t="s">
        <v>40</v>
      </c>
      <c r="F485" s="34"/>
      <c r="G485" s="35" t="s">
        <v>22</v>
      </c>
      <c r="H485" s="33" t="s">
        <v>199</v>
      </c>
      <c r="I485" s="33" t="s">
        <v>1915</v>
      </c>
      <c r="J485" s="218" t="s">
        <v>33</v>
      </c>
      <c r="K485" s="257">
        <v>45972.0</v>
      </c>
      <c r="L485" s="33" t="s">
        <v>33</v>
      </c>
    </row>
    <row r="486">
      <c r="B486" s="76">
        <v>45972.0</v>
      </c>
      <c r="C486" s="33" t="s">
        <v>639</v>
      </c>
      <c r="D486" s="34"/>
      <c r="E486" s="33" t="s">
        <v>1916</v>
      </c>
      <c r="F486" s="34"/>
      <c r="G486" s="35" t="s">
        <v>22</v>
      </c>
      <c r="H486" s="33" t="s">
        <v>42</v>
      </c>
      <c r="I486" s="33" t="s">
        <v>459</v>
      </c>
      <c r="J486" s="218" t="s">
        <v>33</v>
      </c>
      <c r="K486" s="257">
        <v>45974.0</v>
      </c>
      <c r="L486" s="33" t="s">
        <v>36</v>
      </c>
    </row>
    <row r="487">
      <c r="A487" s="45"/>
      <c r="B487" s="76">
        <v>45974.0</v>
      </c>
      <c r="C487" s="33" t="s">
        <v>75</v>
      </c>
      <c r="D487" s="34"/>
      <c r="E487" s="33" t="s">
        <v>1917</v>
      </c>
      <c r="F487" s="34"/>
      <c r="G487" s="35" t="s">
        <v>1918</v>
      </c>
      <c r="H487" s="33" t="s">
        <v>106</v>
      </c>
      <c r="I487" s="33" t="s">
        <v>1919</v>
      </c>
      <c r="J487" s="218" t="s">
        <v>36</v>
      </c>
      <c r="K487" s="257">
        <v>45974.0</v>
      </c>
      <c r="L487" s="33" t="s">
        <v>36</v>
      </c>
    </row>
    <row r="488">
      <c r="A488" s="58"/>
      <c r="B488" s="77">
        <v>45974.0</v>
      </c>
      <c r="C488" s="60" t="s">
        <v>75</v>
      </c>
      <c r="D488" s="61"/>
      <c r="E488" s="60" t="s">
        <v>1920</v>
      </c>
      <c r="F488" s="62" t="s">
        <v>1921</v>
      </c>
      <c r="G488" s="62" t="s">
        <v>22</v>
      </c>
      <c r="H488" s="60" t="s">
        <v>106</v>
      </c>
      <c r="I488" s="60" t="s">
        <v>1919</v>
      </c>
      <c r="J488" s="216" t="s">
        <v>36</v>
      </c>
      <c r="K488" s="258">
        <v>45975.0</v>
      </c>
      <c r="L488" s="58" t="s">
        <v>24</v>
      </c>
    </row>
    <row r="489">
      <c r="A489" s="45"/>
      <c r="B489" s="76">
        <v>45974.0</v>
      </c>
      <c r="C489" s="33" t="s">
        <v>75</v>
      </c>
      <c r="D489" s="34"/>
      <c r="E489" s="33" t="s">
        <v>335</v>
      </c>
      <c r="F489" s="35" t="s">
        <v>1836</v>
      </c>
      <c r="G489" s="35" t="s">
        <v>22</v>
      </c>
      <c r="H489" s="33" t="s">
        <v>106</v>
      </c>
      <c r="I489" s="33" t="s">
        <v>1922</v>
      </c>
      <c r="J489" s="218" t="s">
        <v>36</v>
      </c>
      <c r="K489" s="34"/>
      <c r="L489" s="45"/>
    </row>
    <row r="490">
      <c r="B490" s="76">
        <v>45974.0</v>
      </c>
      <c r="C490" s="33" t="s">
        <v>252</v>
      </c>
      <c r="D490" s="34"/>
      <c r="E490" s="33" t="s">
        <v>1923</v>
      </c>
      <c r="F490" s="34"/>
      <c r="G490" s="35" t="s">
        <v>55</v>
      </c>
      <c r="H490" s="45"/>
      <c r="I490" s="33" t="s">
        <v>1924</v>
      </c>
      <c r="J490" s="218" t="s">
        <v>36</v>
      </c>
      <c r="K490" s="257">
        <v>45974.0</v>
      </c>
      <c r="L490" s="33" t="s">
        <v>36</v>
      </c>
    </row>
    <row r="491">
      <c r="A491" s="45"/>
      <c r="B491" s="76">
        <v>45974.0</v>
      </c>
      <c r="C491" s="33" t="s">
        <v>252</v>
      </c>
      <c r="D491" s="34"/>
      <c r="E491" s="33" t="s">
        <v>1925</v>
      </c>
      <c r="F491" s="34"/>
      <c r="G491" s="35" t="s">
        <v>22</v>
      </c>
      <c r="H491" s="45"/>
      <c r="I491" s="33" t="s">
        <v>1926</v>
      </c>
      <c r="J491" s="218" t="s">
        <v>36</v>
      </c>
      <c r="K491" s="257">
        <v>45976.0</v>
      </c>
      <c r="L491" s="33" t="s">
        <v>36</v>
      </c>
    </row>
    <row r="492">
      <c r="A492" s="86"/>
      <c r="B492" s="87">
        <v>45974.0</v>
      </c>
      <c r="C492" s="86" t="s">
        <v>40</v>
      </c>
      <c r="D492" s="89"/>
      <c r="E492" s="86" t="s">
        <v>1927</v>
      </c>
      <c r="F492" s="89"/>
      <c r="G492" s="89" t="s">
        <v>22</v>
      </c>
      <c r="H492" s="86" t="s">
        <v>199</v>
      </c>
      <c r="I492" s="86"/>
      <c r="J492" s="236" t="s">
        <v>36</v>
      </c>
      <c r="K492" s="237">
        <v>45975.0</v>
      </c>
      <c r="L492" s="86" t="s">
        <v>24</v>
      </c>
    </row>
    <row r="493">
      <c r="A493" s="86"/>
      <c r="B493" s="87">
        <v>45974.0</v>
      </c>
      <c r="C493" s="86" t="s">
        <v>40</v>
      </c>
      <c r="D493" s="89"/>
      <c r="E493" s="86" t="s">
        <v>1928</v>
      </c>
      <c r="F493" s="89"/>
      <c r="G493" s="89" t="s">
        <v>55</v>
      </c>
      <c r="H493" s="86" t="s">
        <v>42</v>
      </c>
      <c r="I493" s="86"/>
      <c r="J493" s="236" t="s">
        <v>36</v>
      </c>
      <c r="K493" s="237">
        <v>45978.0</v>
      </c>
      <c r="L493" s="86" t="s">
        <v>24</v>
      </c>
    </row>
    <row r="494">
      <c r="A494" s="86"/>
      <c r="B494" s="87">
        <v>45975.0</v>
      </c>
      <c r="C494" s="86" t="s">
        <v>1929</v>
      </c>
      <c r="D494" s="89"/>
      <c r="E494" s="86" t="s">
        <v>1930</v>
      </c>
      <c r="F494" s="262">
        <f>56988386705</f>
        <v>56988386705</v>
      </c>
      <c r="G494" s="89" t="s">
        <v>22</v>
      </c>
      <c r="H494" s="86" t="s">
        <v>183</v>
      </c>
      <c r="I494" s="86"/>
      <c r="J494" s="236" t="s">
        <v>24</v>
      </c>
      <c r="K494" s="237">
        <v>45978.0</v>
      </c>
      <c r="L494" s="86" t="s">
        <v>24</v>
      </c>
    </row>
    <row r="495">
      <c r="A495" s="86"/>
      <c r="B495" s="87">
        <v>45975.0</v>
      </c>
      <c r="C495" s="86" t="s">
        <v>44</v>
      </c>
      <c r="D495" s="89"/>
      <c r="E495" s="86" t="s">
        <v>1543</v>
      </c>
      <c r="F495" s="89"/>
      <c r="G495" s="89" t="s">
        <v>22</v>
      </c>
      <c r="H495" s="86"/>
      <c r="I495" s="86"/>
      <c r="J495" s="236"/>
      <c r="K495" s="237">
        <v>45975.0</v>
      </c>
      <c r="L495" s="86" t="s">
        <v>24</v>
      </c>
    </row>
    <row r="496">
      <c r="A496" s="86"/>
      <c r="B496" s="87">
        <v>45978.0</v>
      </c>
      <c r="C496" s="86" t="s">
        <v>1931</v>
      </c>
      <c r="D496" s="89"/>
      <c r="E496" s="86" t="s">
        <v>44</v>
      </c>
      <c r="F496" s="89"/>
      <c r="G496" s="89" t="s">
        <v>22</v>
      </c>
      <c r="H496" s="86" t="s">
        <v>128</v>
      </c>
      <c r="I496" s="86"/>
      <c r="J496" s="236" t="s">
        <v>24</v>
      </c>
      <c r="K496" s="237">
        <v>45978.0</v>
      </c>
      <c r="L496" s="86" t="s">
        <v>24</v>
      </c>
    </row>
    <row r="497">
      <c r="A497" s="86"/>
      <c r="B497" s="87">
        <v>45978.0</v>
      </c>
      <c r="C497" s="86" t="s">
        <v>266</v>
      </c>
      <c r="D497" s="89"/>
      <c r="E497" s="86" t="s">
        <v>44</v>
      </c>
      <c r="F497" s="89"/>
      <c r="G497" s="89" t="s">
        <v>22</v>
      </c>
      <c r="H497" s="86" t="s">
        <v>128</v>
      </c>
      <c r="I497" s="86"/>
      <c r="J497" s="236" t="s">
        <v>24</v>
      </c>
      <c r="K497" s="237">
        <v>45978.0</v>
      </c>
      <c r="L497" s="86" t="s">
        <v>24</v>
      </c>
    </row>
    <row r="498">
      <c r="A498" s="86"/>
      <c r="B498" s="87">
        <v>45978.0</v>
      </c>
      <c r="C498" s="86" t="s">
        <v>1543</v>
      </c>
      <c r="D498" s="89"/>
      <c r="E498" s="86" t="s">
        <v>44</v>
      </c>
      <c r="F498" s="89"/>
      <c r="G498" s="89" t="s">
        <v>22</v>
      </c>
      <c r="H498" s="86" t="s">
        <v>128</v>
      </c>
      <c r="I498" s="86"/>
      <c r="J498" s="236" t="s">
        <v>24</v>
      </c>
      <c r="K498" s="237">
        <v>45978.0</v>
      </c>
      <c r="L498" s="86" t="s">
        <v>24</v>
      </c>
    </row>
    <row r="499">
      <c r="A499" s="263">
        <v>45983.0</v>
      </c>
      <c r="B499" s="77">
        <v>45974.0</v>
      </c>
      <c r="C499" s="60" t="s">
        <v>40</v>
      </c>
      <c r="D499" s="61"/>
      <c r="E499" s="60" t="s">
        <v>1343</v>
      </c>
      <c r="F499" s="61"/>
      <c r="G499" s="62" t="s">
        <v>22</v>
      </c>
      <c r="H499" s="60" t="s">
        <v>42</v>
      </c>
      <c r="I499" s="58"/>
      <c r="J499" s="60" t="s">
        <v>36</v>
      </c>
      <c r="K499" s="252">
        <v>45983.0</v>
      </c>
      <c r="L499" s="62" t="s">
        <v>24</v>
      </c>
    </row>
    <row r="500">
      <c r="B500" s="264">
        <v>45974.0</v>
      </c>
      <c r="C500" s="45" t="s">
        <v>40</v>
      </c>
      <c r="D500" s="34"/>
      <c r="E500" s="45" t="s">
        <v>1343</v>
      </c>
      <c r="F500" s="34"/>
      <c r="G500" s="34" t="s">
        <v>22</v>
      </c>
      <c r="H500" s="45" t="s">
        <v>42</v>
      </c>
      <c r="I500" s="45"/>
      <c r="J500" s="45" t="s">
        <v>36</v>
      </c>
      <c r="K500" s="265">
        <v>45983.0</v>
      </c>
      <c r="L500" s="45" t="s">
        <v>24</v>
      </c>
    </row>
    <row r="501">
      <c r="B501" s="76">
        <v>45974.0</v>
      </c>
      <c r="C501" s="33" t="s">
        <v>40</v>
      </c>
      <c r="D501" s="34"/>
      <c r="E501" s="33" t="s">
        <v>1932</v>
      </c>
      <c r="F501" s="34"/>
      <c r="G501" s="35" t="s">
        <v>22</v>
      </c>
      <c r="H501" s="33" t="s">
        <v>122</v>
      </c>
      <c r="I501" s="45"/>
      <c r="J501" s="33" t="s">
        <v>36</v>
      </c>
      <c r="K501" s="70">
        <v>45988.0</v>
      </c>
      <c r="L501" s="33" t="s">
        <v>36</v>
      </c>
    </row>
    <row r="502">
      <c r="B502" s="264">
        <v>45978.0</v>
      </c>
      <c r="C502" s="266" t="s">
        <v>639</v>
      </c>
      <c r="D502" s="34"/>
      <c r="E502" s="266" t="s">
        <v>1933</v>
      </c>
      <c r="F502" s="34"/>
      <c r="G502" s="267" t="s">
        <v>22</v>
      </c>
      <c r="H502" s="266" t="s">
        <v>109</v>
      </c>
      <c r="I502" s="45"/>
      <c r="J502" s="266" t="s">
        <v>24</v>
      </c>
      <c r="K502" s="70">
        <v>45996.0</v>
      </c>
      <c r="L502" s="33" t="s">
        <v>25</v>
      </c>
    </row>
    <row r="503">
      <c r="B503" s="264">
        <v>45979.0</v>
      </c>
      <c r="C503" s="45" t="s">
        <v>1934</v>
      </c>
      <c r="D503" s="34"/>
      <c r="E503" s="45" t="s">
        <v>1935</v>
      </c>
      <c r="F503" s="34"/>
      <c r="G503" s="267" t="s">
        <v>22</v>
      </c>
      <c r="H503" s="45" t="s">
        <v>183</v>
      </c>
      <c r="I503" s="45" t="s">
        <v>286</v>
      </c>
      <c r="J503" s="45" t="s">
        <v>33</v>
      </c>
      <c r="K503" s="56">
        <v>45992.0</v>
      </c>
      <c r="L503" s="33" t="s">
        <v>130</v>
      </c>
    </row>
    <row r="504">
      <c r="A504" s="80"/>
      <c r="B504" s="101">
        <v>45979.0</v>
      </c>
      <c r="C504" s="80" t="s">
        <v>1936</v>
      </c>
      <c r="D504" s="268">
        <v>9.95968357E8</v>
      </c>
      <c r="E504" s="80" t="s">
        <v>1937</v>
      </c>
      <c r="F504" s="268">
        <v>9.88901815E8</v>
      </c>
      <c r="G504" s="83" t="s">
        <v>1938</v>
      </c>
      <c r="H504" s="80" t="s">
        <v>199</v>
      </c>
      <c r="I504" s="80" t="s">
        <v>1939</v>
      </c>
      <c r="J504" s="80" t="s">
        <v>33</v>
      </c>
      <c r="K504" s="269">
        <v>45980.0</v>
      </c>
      <c r="L504" s="83" t="s">
        <v>130</v>
      </c>
    </row>
    <row r="505">
      <c r="A505" s="80"/>
      <c r="B505" s="101">
        <v>45979.0</v>
      </c>
      <c r="C505" s="80" t="s">
        <v>639</v>
      </c>
      <c r="D505" s="83"/>
      <c r="E505" s="80" t="s">
        <v>1940</v>
      </c>
      <c r="F505" s="83" t="s">
        <v>1941</v>
      </c>
      <c r="G505" s="83" t="s">
        <v>55</v>
      </c>
      <c r="H505" s="80" t="s">
        <v>81</v>
      </c>
      <c r="I505" s="80" t="s">
        <v>1942</v>
      </c>
      <c r="J505" s="80" t="s">
        <v>33</v>
      </c>
      <c r="K505" s="269">
        <v>45980.0</v>
      </c>
      <c r="L505" s="83" t="s">
        <v>130</v>
      </c>
    </row>
    <row r="506">
      <c r="A506" s="80"/>
      <c r="B506" s="255">
        <v>45980.0</v>
      </c>
      <c r="C506" s="80" t="s">
        <v>149</v>
      </c>
      <c r="D506" s="83"/>
      <c r="E506" s="80" t="s">
        <v>1943</v>
      </c>
      <c r="F506" s="83"/>
      <c r="G506" s="83" t="s">
        <v>22</v>
      </c>
      <c r="H506" s="80" t="s">
        <v>215</v>
      </c>
      <c r="I506" s="80" t="s">
        <v>473</v>
      </c>
      <c r="J506" s="80" t="s">
        <v>130</v>
      </c>
      <c r="K506" s="269">
        <v>45980.0</v>
      </c>
      <c r="L506" s="83" t="s">
        <v>130</v>
      </c>
    </row>
    <row r="507">
      <c r="A507" s="80"/>
      <c r="B507" s="255">
        <v>45980.0</v>
      </c>
      <c r="C507" s="80" t="s">
        <v>149</v>
      </c>
      <c r="D507" s="83"/>
      <c r="E507" s="80" t="s">
        <v>1944</v>
      </c>
      <c r="F507" s="83"/>
      <c r="G507" s="83" t="s">
        <v>289</v>
      </c>
      <c r="H507" s="80" t="s">
        <v>215</v>
      </c>
      <c r="I507" s="80" t="s">
        <v>1945</v>
      </c>
      <c r="J507" s="80" t="s">
        <v>130</v>
      </c>
      <c r="K507" s="269">
        <v>45980.0</v>
      </c>
      <c r="L507" s="83" t="s">
        <v>130</v>
      </c>
    </row>
    <row r="508">
      <c r="A508" s="80"/>
      <c r="B508" s="255">
        <v>45980.0</v>
      </c>
      <c r="C508" s="80" t="s">
        <v>1946</v>
      </c>
      <c r="D508" s="268">
        <f>56997590616</f>
        <v>56997590616</v>
      </c>
      <c r="E508" s="80" t="s">
        <v>190</v>
      </c>
      <c r="F508" s="83" t="s">
        <v>1947</v>
      </c>
      <c r="G508" s="83" t="s">
        <v>22</v>
      </c>
      <c r="H508" s="80" t="s">
        <v>1948</v>
      </c>
      <c r="I508" s="80" t="s">
        <v>1949</v>
      </c>
      <c r="J508" s="80" t="s">
        <v>130</v>
      </c>
      <c r="K508" s="269">
        <v>45980.0</v>
      </c>
      <c r="L508" s="83" t="s">
        <v>130</v>
      </c>
    </row>
    <row r="509">
      <c r="B509" s="270">
        <v>45980.0</v>
      </c>
      <c r="C509" s="45" t="s">
        <v>146</v>
      </c>
      <c r="D509" s="34"/>
      <c r="E509" s="45" t="s">
        <v>1543</v>
      </c>
      <c r="F509" s="34"/>
      <c r="G509" s="34" t="s">
        <v>22</v>
      </c>
      <c r="H509" s="45" t="s">
        <v>31</v>
      </c>
      <c r="I509" s="45" t="s">
        <v>1950</v>
      </c>
      <c r="J509" s="45" t="s">
        <v>130</v>
      </c>
      <c r="K509" s="271">
        <v>45995.0</v>
      </c>
      <c r="L509" s="45" t="s">
        <v>33</v>
      </c>
    </row>
    <row r="510">
      <c r="A510" s="92"/>
      <c r="B510" s="246">
        <v>45981.0</v>
      </c>
      <c r="C510" s="92" t="s">
        <v>1788</v>
      </c>
      <c r="D510" s="99"/>
      <c r="E510" s="92" t="s">
        <v>146</v>
      </c>
      <c r="F510" s="99"/>
      <c r="G510" s="99" t="s">
        <v>22</v>
      </c>
      <c r="H510" s="92" t="s">
        <v>31</v>
      </c>
      <c r="I510" s="92" t="s">
        <v>1951</v>
      </c>
      <c r="J510" s="92" t="s">
        <v>25</v>
      </c>
      <c r="K510" s="247">
        <v>45982.0</v>
      </c>
      <c r="L510" s="99" t="s">
        <v>25</v>
      </c>
    </row>
    <row r="511">
      <c r="A511" s="92"/>
      <c r="B511" s="246">
        <v>45981.0</v>
      </c>
      <c r="C511" s="92" t="s">
        <v>65</v>
      </c>
      <c r="D511" s="99"/>
      <c r="E511" s="92" t="s">
        <v>1952</v>
      </c>
      <c r="F511" s="99"/>
      <c r="G511" s="99" t="s">
        <v>22</v>
      </c>
      <c r="H511" s="92" t="s">
        <v>88</v>
      </c>
      <c r="I511" s="92" t="s">
        <v>820</v>
      </c>
      <c r="J511" s="92" t="s">
        <v>25</v>
      </c>
      <c r="K511" s="247">
        <v>45982.0</v>
      </c>
      <c r="L511" s="99" t="s">
        <v>25</v>
      </c>
    </row>
    <row r="512">
      <c r="A512" s="92"/>
      <c r="B512" s="246">
        <v>45981.0</v>
      </c>
      <c r="C512" s="92" t="s">
        <v>65</v>
      </c>
      <c r="D512" s="99"/>
      <c r="E512" s="92" t="s">
        <v>1953</v>
      </c>
      <c r="F512" s="99"/>
      <c r="G512" s="99" t="s">
        <v>22</v>
      </c>
      <c r="H512" s="92" t="s">
        <v>31</v>
      </c>
      <c r="I512" s="92" t="s">
        <v>203</v>
      </c>
      <c r="J512" s="92" t="s">
        <v>25</v>
      </c>
      <c r="K512" s="247">
        <v>45982.0</v>
      </c>
      <c r="L512" s="99" t="s">
        <v>25</v>
      </c>
    </row>
    <row r="513">
      <c r="A513" s="92"/>
      <c r="B513" s="246">
        <v>45982.0</v>
      </c>
      <c r="C513" s="92" t="s">
        <v>149</v>
      </c>
      <c r="D513" s="99"/>
      <c r="E513" s="92" t="s">
        <v>1954</v>
      </c>
      <c r="F513" s="99"/>
      <c r="G513" s="99" t="s">
        <v>22</v>
      </c>
      <c r="H513" s="92" t="s">
        <v>398</v>
      </c>
      <c r="I513" s="92" t="s">
        <v>856</v>
      </c>
      <c r="J513" s="92" t="s">
        <v>25</v>
      </c>
      <c r="K513" s="247">
        <v>45982.0</v>
      </c>
      <c r="L513" s="99" t="s">
        <v>25</v>
      </c>
    </row>
    <row r="514">
      <c r="B514" s="245">
        <v>45983.0</v>
      </c>
      <c r="C514" s="33" t="s">
        <v>321</v>
      </c>
      <c r="D514" s="34"/>
      <c r="E514" s="33" t="s">
        <v>1955</v>
      </c>
      <c r="F514" s="34"/>
      <c r="G514" s="35" t="s">
        <v>22</v>
      </c>
      <c r="H514" s="33" t="s">
        <v>156</v>
      </c>
      <c r="I514" s="33" t="s">
        <v>1956</v>
      </c>
      <c r="J514" s="33" t="s">
        <v>24</v>
      </c>
      <c r="K514" s="57">
        <v>45987.0</v>
      </c>
      <c r="L514" s="33" t="s">
        <v>95</v>
      </c>
    </row>
    <row r="515">
      <c r="B515" s="245">
        <v>45983.0</v>
      </c>
      <c r="C515" s="33" t="s">
        <v>321</v>
      </c>
      <c r="D515" s="34"/>
      <c r="E515" s="33" t="s">
        <v>1957</v>
      </c>
      <c r="F515" s="34"/>
      <c r="G515" s="35" t="s">
        <v>22</v>
      </c>
      <c r="H515" s="33" t="s">
        <v>128</v>
      </c>
      <c r="I515" s="33" t="s">
        <v>1956</v>
      </c>
      <c r="J515" s="33" t="s">
        <v>24</v>
      </c>
      <c r="K515" s="70">
        <v>45986.0</v>
      </c>
      <c r="L515" s="33" t="s">
        <v>33</v>
      </c>
    </row>
    <row r="516">
      <c r="A516" s="45"/>
      <c r="B516" s="270">
        <v>45983.0</v>
      </c>
      <c r="C516" s="45" t="s">
        <v>639</v>
      </c>
      <c r="D516" s="34"/>
      <c r="E516" s="45" t="s">
        <v>1958</v>
      </c>
      <c r="F516" s="34"/>
      <c r="G516" s="267" t="s">
        <v>22</v>
      </c>
      <c r="H516" s="45" t="s">
        <v>156</v>
      </c>
      <c r="I516" s="45" t="s">
        <v>1956</v>
      </c>
      <c r="J516" s="45" t="s">
        <v>24</v>
      </c>
      <c r="K516" s="254">
        <v>46010.0</v>
      </c>
      <c r="L516" s="35" t="s">
        <v>418</v>
      </c>
      <c r="M516" s="223"/>
      <c r="N516" s="223"/>
      <c r="O516" s="223"/>
      <c r="P516" s="223"/>
      <c r="Q516" s="223"/>
      <c r="R516" s="223"/>
      <c r="S516" s="223"/>
      <c r="T516" s="223"/>
      <c r="U516" s="223"/>
      <c r="V516" s="223"/>
      <c r="W516" s="223"/>
      <c r="X516" s="223"/>
      <c r="Y516" s="223"/>
      <c r="Z516" s="223"/>
      <c r="AA516" s="223"/>
      <c r="AB516" s="223"/>
    </row>
    <row r="517">
      <c r="B517" s="245">
        <v>45985.0</v>
      </c>
      <c r="C517" s="33" t="s">
        <v>639</v>
      </c>
      <c r="D517" s="34"/>
      <c r="E517" s="33" t="s">
        <v>1959</v>
      </c>
      <c r="F517" s="34"/>
      <c r="G517" s="35" t="s">
        <v>1960</v>
      </c>
      <c r="H517" s="33" t="s">
        <v>42</v>
      </c>
      <c r="I517" s="33" t="s">
        <v>77</v>
      </c>
      <c r="J517" s="33" t="s">
        <v>36</v>
      </c>
      <c r="K517" s="70">
        <v>45985.0</v>
      </c>
      <c r="L517" s="33" t="s">
        <v>36</v>
      </c>
    </row>
    <row r="518">
      <c r="B518" s="245">
        <v>45985.0</v>
      </c>
      <c r="C518" s="33" t="s">
        <v>40</v>
      </c>
      <c r="D518" s="34"/>
      <c r="E518" s="33" t="s">
        <v>377</v>
      </c>
      <c r="F518" s="34"/>
      <c r="G518" s="35" t="s">
        <v>55</v>
      </c>
      <c r="H518" s="33" t="s">
        <v>42</v>
      </c>
      <c r="I518" s="33" t="s">
        <v>1961</v>
      </c>
      <c r="J518" s="33" t="s">
        <v>36</v>
      </c>
      <c r="K518" s="57">
        <v>45987.0</v>
      </c>
      <c r="L518" s="33" t="s">
        <v>95</v>
      </c>
    </row>
    <row r="519">
      <c r="B519" s="245">
        <v>45985.0</v>
      </c>
      <c r="C519" s="33" t="s">
        <v>1767</v>
      </c>
      <c r="D519" s="34"/>
      <c r="E519" s="33" t="s">
        <v>37</v>
      </c>
      <c r="F519" s="34"/>
      <c r="G519" s="35" t="s">
        <v>22</v>
      </c>
      <c r="H519" s="33" t="s">
        <v>81</v>
      </c>
      <c r="I519" s="45"/>
      <c r="J519" s="33" t="s">
        <v>36</v>
      </c>
      <c r="K519" s="70">
        <v>45985.0</v>
      </c>
      <c r="L519" s="33" t="s">
        <v>36</v>
      </c>
    </row>
    <row r="520">
      <c r="B520" s="245">
        <v>45986.0</v>
      </c>
      <c r="C520" s="33" t="s">
        <v>149</v>
      </c>
      <c r="D520" s="34"/>
      <c r="E520" s="33" t="s">
        <v>1962</v>
      </c>
      <c r="F520" s="34"/>
      <c r="G520" s="35" t="s">
        <v>22</v>
      </c>
      <c r="H520" s="33" t="s">
        <v>199</v>
      </c>
      <c r="I520" s="33" t="s">
        <v>286</v>
      </c>
      <c r="J520" s="33" t="s">
        <v>33</v>
      </c>
      <c r="K520" s="57">
        <v>45987.0</v>
      </c>
      <c r="L520" s="33" t="s">
        <v>95</v>
      </c>
    </row>
    <row r="521">
      <c r="B521" s="245">
        <v>45986.0</v>
      </c>
      <c r="C521" s="33" t="s">
        <v>29</v>
      </c>
      <c r="D521" s="34"/>
      <c r="E521" s="33" t="s">
        <v>1963</v>
      </c>
      <c r="F521" s="34"/>
      <c r="G521" s="35" t="s">
        <v>22</v>
      </c>
      <c r="H521" s="33" t="s">
        <v>1964</v>
      </c>
      <c r="I521" s="33" t="s">
        <v>1521</v>
      </c>
      <c r="J521" s="33" t="s">
        <v>33</v>
      </c>
      <c r="K521" s="70">
        <v>45986.0</v>
      </c>
      <c r="L521" s="33" t="s">
        <v>33</v>
      </c>
    </row>
    <row r="522">
      <c r="B522" s="76">
        <v>45987.0</v>
      </c>
      <c r="C522" s="33" t="s">
        <v>206</v>
      </c>
      <c r="D522" s="34"/>
      <c r="E522" s="33" t="s">
        <v>1965</v>
      </c>
      <c r="F522" s="34"/>
      <c r="G522" s="35" t="s">
        <v>22</v>
      </c>
      <c r="H522" s="33" t="s">
        <v>156</v>
      </c>
      <c r="I522" s="33" t="s">
        <v>1966</v>
      </c>
      <c r="J522" s="33" t="s">
        <v>95</v>
      </c>
      <c r="K522" s="57">
        <v>45987.0</v>
      </c>
      <c r="L522" s="33" t="s">
        <v>95</v>
      </c>
    </row>
    <row r="523">
      <c r="A523" s="45"/>
      <c r="B523" s="270">
        <v>45988.0</v>
      </c>
      <c r="C523" s="45" t="s">
        <v>1967</v>
      </c>
      <c r="D523" s="34"/>
      <c r="E523" s="45" t="s">
        <v>1968</v>
      </c>
      <c r="F523" s="34"/>
      <c r="G523" s="267" t="s">
        <v>22</v>
      </c>
      <c r="H523" s="45" t="s">
        <v>68</v>
      </c>
      <c r="I523" s="45" t="s">
        <v>1911</v>
      </c>
      <c r="J523" s="45" t="s">
        <v>33</v>
      </c>
      <c r="K523" s="229">
        <v>46004.0</v>
      </c>
      <c r="L523" s="35" t="s">
        <v>33</v>
      </c>
    </row>
    <row r="524">
      <c r="B524" s="270">
        <v>45983.0</v>
      </c>
      <c r="C524" s="45" t="s">
        <v>1969</v>
      </c>
      <c r="D524" s="34"/>
      <c r="E524" s="45" t="s">
        <v>1970</v>
      </c>
      <c r="F524" s="34"/>
      <c r="G524" s="34" t="s">
        <v>22</v>
      </c>
      <c r="H524" s="45" t="s">
        <v>88</v>
      </c>
      <c r="I524" s="45" t="s">
        <v>1971</v>
      </c>
      <c r="J524" s="45" t="s">
        <v>24</v>
      </c>
      <c r="K524" s="265">
        <v>45983.0</v>
      </c>
      <c r="L524" s="45" t="s">
        <v>24</v>
      </c>
    </row>
    <row r="525">
      <c r="B525" s="270">
        <v>45988.0</v>
      </c>
      <c r="C525" s="45" t="s">
        <v>309</v>
      </c>
      <c r="D525" s="34"/>
      <c r="E525" s="45" t="s">
        <v>1972</v>
      </c>
      <c r="F525" s="34"/>
      <c r="G525" s="34" t="s">
        <v>22</v>
      </c>
      <c r="H525" s="45" t="s">
        <v>42</v>
      </c>
      <c r="I525" s="45" t="s">
        <v>1973</v>
      </c>
      <c r="J525" s="45" t="s">
        <v>36</v>
      </c>
      <c r="K525" s="265">
        <v>45989.0</v>
      </c>
      <c r="L525" s="45" t="s">
        <v>366</v>
      </c>
    </row>
    <row r="526">
      <c r="B526" s="270">
        <v>45988.0</v>
      </c>
      <c r="C526" s="45" t="s">
        <v>190</v>
      </c>
      <c r="D526" s="34"/>
      <c r="E526" s="45" t="s">
        <v>1767</v>
      </c>
      <c r="F526" s="34"/>
      <c r="G526" s="34" t="s">
        <v>22</v>
      </c>
      <c r="H526" s="45" t="s">
        <v>199</v>
      </c>
      <c r="I526" s="45" t="s">
        <v>1974</v>
      </c>
      <c r="J526" s="45" t="s">
        <v>36</v>
      </c>
      <c r="K526" s="265">
        <v>45990.0</v>
      </c>
      <c r="L526" s="45" t="s">
        <v>1975</v>
      </c>
    </row>
    <row r="527">
      <c r="B527" s="69">
        <v>45993.0</v>
      </c>
      <c r="C527" s="33" t="s">
        <v>36</v>
      </c>
      <c r="D527" s="34"/>
      <c r="E527" s="33" t="s">
        <v>1976</v>
      </c>
      <c r="F527" s="35" t="s">
        <v>1977</v>
      </c>
      <c r="G527" s="35" t="s">
        <v>55</v>
      </c>
      <c r="H527" s="33" t="s">
        <v>46</v>
      </c>
      <c r="I527" s="33" t="s">
        <v>1978</v>
      </c>
      <c r="J527" s="33" t="s">
        <v>36</v>
      </c>
      <c r="K527" s="254">
        <v>45964.0</v>
      </c>
      <c r="L527" s="35" t="s">
        <v>130</v>
      </c>
    </row>
    <row r="528">
      <c r="B528" s="69">
        <v>45993.0</v>
      </c>
      <c r="C528" s="33" t="s">
        <v>36</v>
      </c>
      <c r="D528" s="34"/>
      <c r="E528" s="33" t="s">
        <v>1979</v>
      </c>
      <c r="F528" s="35" t="s">
        <v>1980</v>
      </c>
      <c r="G528" s="35" t="s">
        <v>22</v>
      </c>
      <c r="H528" s="33" t="s">
        <v>46</v>
      </c>
      <c r="I528" s="33" t="s">
        <v>1981</v>
      </c>
      <c r="J528" s="33" t="s">
        <v>36</v>
      </c>
      <c r="K528" s="254">
        <v>46000.0</v>
      </c>
      <c r="L528" s="34"/>
    </row>
    <row r="529">
      <c r="B529" s="69">
        <v>45993.0</v>
      </c>
      <c r="C529" s="33" t="s">
        <v>36</v>
      </c>
      <c r="D529" s="34"/>
      <c r="E529" s="33" t="s">
        <v>1982</v>
      </c>
      <c r="F529" s="35" t="s">
        <v>1983</v>
      </c>
      <c r="G529" s="35" t="s">
        <v>1984</v>
      </c>
      <c r="H529" s="33" t="s">
        <v>46</v>
      </c>
      <c r="I529" s="33" t="s">
        <v>390</v>
      </c>
      <c r="J529" s="33" t="s">
        <v>36</v>
      </c>
      <c r="K529" s="254">
        <v>45994.0</v>
      </c>
      <c r="L529" s="35" t="s">
        <v>130</v>
      </c>
    </row>
    <row r="530">
      <c r="B530" s="69">
        <v>45993.0</v>
      </c>
      <c r="C530" s="33" t="s">
        <v>149</v>
      </c>
      <c r="D530" s="34"/>
      <c r="E530" s="33" t="s">
        <v>1985</v>
      </c>
      <c r="F530" s="34"/>
      <c r="G530" s="35" t="s">
        <v>22</v>
      </c>
      <c r="H530" s="33" t="s">
        <v>81</v>
      </c>
      <c r="I530" s="33" t="s">
        <v>115</v>
      </c>
      <c r="J530" s="33" t="s">
        <v>36</v>
      </c>
      <c r="K530" s="254">
        <v>45993.0</v>
      </c>
      <c r="L530" s="35" t="s">
        <v>36</v>
      </c>
    </row>
    <row r="531">
      <c r="B531" s="69">
        <v>45993.0</v>
      </c>
      <c r="C531" s="33" t="s">
        <v>36</v>
      </c>
      <c r="D531" s="34"/>
      <c r="E531" s="33" t="s">
        <v>1986</v>
      </c>
      <c r="F531" s="34"/>
      <c r="G531" s="35" t="s">
        <v>1987</v>
      </c>
      <c r="H531" s="33" t="s">
        <v>81</v>
      </c>
      <c r="I531" s="33" t="s">
        <v>1988</v>
      </c>
      <c r="J531" s="33" t="s">
        <v>36</v>
      </c>
      <c r="K531" s="254">
        <v>45994.0</v>
      </c>
      <c r="L531" s="35" t="s">
        <v>130</v>
      </c>
    </row>
    <row r="532">
      <c r="A532" s="33" t="s">
        <v>0</v>
      </c>
      <c r="B532" s="272">
        <v>45993.0</v>
      </c>
      <c r="C532" s="45" t="s">
        <v>40</v>
      </c>
      <c r="D532" s="34"/>
      <c r="E532" s="45" t="s">
        <v>534</v>
      </c>
      <c r="F532" s="34"/>
      <c r="G532" s="267" t="s">
        <v>22</v>
      </c>
      <c r="H532" s="45" t="s">
        <v>81</v>
      </c>
      <c r="I532" s="45" t="s">
        <v>1919</v>
      </c>
      <c r="J532" s="45" t="s">
        <v>36</v>
      </c>
      <c r="K532" s="229">
        <v>46018.0</v>
      </c>
      <c r="L532" s="35" t="s">
        <v>130</v>
      </c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</row>
    <row r="533">
      <c r="B533" s="272">
        <v>45994.0</v>
      </c>
      <c r="C533" s="45" t="s">
        <v>149</v>
      </c>
      <c r="D533" s="34"/>
      <c r="E533" s="45" t="s">
        <v>1989</v>
      </c>
      <c r="F533" s="34" t="s">
        <v>1990</v>
      </c>
      <c r="G533" s="34" t="s">
        <v>22</v>
      </c>
      <c r="H533" s="45" t="s">
        <v>183</v>
      </c>
      <c r="I533" s="45" t="s">
        <v>133</v>
      </c>
      <c r="J533" s="45" t="s">
        <v>130</v>
      </c>
      <c r="K533" s="271">
        <v>45996.0</v>
      </c>
      <c r="L533" s="45" t="s">
        <v>25</v>
      </c>
    </row>
    <row r="534">
      <c r="B534" s="272">
        <v>45994.0</v>
      </c>
      <c r="C534" s="45" t="s">
        <v>149</v>
      </c>
      <c r="D534" s="34"/>
      <c r="E534" s="45" t="s">
        <v>1991</v>
      </c>
      <c r="F534" s="34"/>
      <c r="G534" s="34" t="s">
        <v>22</v>
      </c>
      <c r="H534" s="45" t="s">
        <v>215</v>
      </c>
      <c r="I534" s="45" t="s">
        <v>144</v>
      </c>
      <c r="J534" s="45" t="s">
        <v>130</v>
      </c>
      <c r="K534" s="271">
        <v>45994.0</v>
      </c>
      <c r="L534" s="45" t="s">
        <v>130</v>
      </c>
    </row>
    <row r="535">
      <c r="B535" s="272">
        <v>45994.0</v>
      </c>
      <c r="C535" s="45" t="s">
        <v>65</v>
      </c>
      <c r="D535" s="34"/>
      <c r="E535" s="45" t="s">
        <v>1992</v>
      </c>
      <c r="F535" s="34"/>
      <c r="G535" s="34" t="s">
        <v>22</v>
      </c>
      <c r="H535" s="45" t="s">
        <v>109</v>
      </c>
      <c r="I535" s="45" t="s">
        <v>77</v>
      </c>
      <c r="J535" s="45" t="s">
        <v>130</v>
      </c>
      <c r="K535" s="271">
        <v>45994.0</v>
      </c>
      <c r="L535" s="45" t="s">
        <v>130</v>
      </c>
    </row>
    <row r="536">
      <c r="B536" s="272">
        <v>45994.0</v>
      </c>
      <c r="C536" s="45" t="s">
        <v>65</v>
      </c>
      <c r="D536" s="34"/>
      <c r="E536" s="45" t="s">
        <v>1993</v>
      </c>
      <c r="F536" s="34" t="s">
        <v>1994</v>
      </c>
      <c r="G536" s="34" t="s">
        <v>22</v>
      </c>
      <c r="H536" s="45" t="s">
        <v>63</v>
      </c>
      <c r="I536" s="45" t="s">
        <v>258</v>
      </c>
      <c r="J536" s="45" t="s">
        <v>48</v>
      </c>
      <c r="K536" s="271">
        <v>45996.0</v>
      </c>
      <c r="L536" s="45" t="s">
        <v>48</v>
      </c>
    </row>
    <row r="537">
      <c r="B537" s="272">
        <v>45995.0</v>
      </c>
      <c r="C537" s="45" t="s">
        <v>1995</v>
      </c>
      <c r="D537" s="34"/>
      <c r="E537" s="45" t="s">
        <v>1996</v>
      </c>
      <c r="F537" s="34"/>
      <c r="G537" s="34" t="s">
        <v>22</v>
      </c>
      <c r="H537" s="45" t="s">
        <v>81</v>
      </c>
      <c r="I537" s="45" t="s">
        <v>1997</v>
      </c>
      <c r="J537" s="45" t="s">
        <v>400</v>
      </c>
      <c r="K537" s="271">
        <v>45995.0</v>
      </c>
      <c r="L537" s="45" t="s">
        <v>48</v>
      </c>
    </row>
    <row r="538">
      <c r="B538" s="272">
        <v>45995.0</v>
      </c>
      <c r="C538" s="45" t="s">
        <v>1995</v>
      </c>
      <c r="D538" s="34"/>
      <c r="E538" s="45" t="s">
        <v>1998</v>
      </c>
      <c r="F538" s="34"/>
      <c r="G538" s="34" t="s">
        <v>22</v>
      </c>
      <c r="H538" s="45" t="s">
        <v>81</v>
      </c>
      <c r="I538" s="45" t="s">
        <v>1999</v>
      </c>
      <c r="J538" s="45" t="s">
        <v>400</v>
      </c>
      <c r="K538" s="271">
        <v>45997.0</v>
      </c>
      <c r="L538" s="45" t="s">
        <v>33</v>
      </c>
    </row>
    <row r="539">
      <c r="B539" s="272">
        <v>45995.0</v>
      </c>
      <c r="C539" s="45" t="s">
        <v>1995</v>
      </c>
      <c r="D539" s="34"/>
      <c r="E539" s="45" t="s">
        <v>2000</v>
      </c>
      <c r="F539" s="34"/>
      <c r="G539" s="34" t="s">
        <v>22</v>
      </c>
      <c r="H539" s="45" t="s">
        <v>81</v>
      </c>
      <c r="I539" s="45" t="s">
        <v>1999</v>
      </c>
      <c r="J539" s="45" t="s">
        <v>400</v>
      </c>
      <c r="K539" s="271">
        <v>45995.0</v>
      </c>
      <c r="L539" s="45" t="s">
        <v>33</v>
      </c>
    </row>
    <row r="540">
      <c r="B540" s="272">
        <v>45995.0</v>
      </c>
      <c r="C540" s="45" t="s">
        <v>185</v>
      </c>
      <c r="D540" s="34"/>
      <c r="E540" s="45" t="s">
        <v>2001</v>
      </c>
      <c r="F540" s="34"/>
      <c r="G540" s="34" t="s">
        <v>22</v>
      </c>
      <c r="H540" s="45" t="s">
        <v>180</v>
      </c>
      <c r="I540" s="45" t="s">
        <v>286</v>
      </c>
      <c r="J540" s="45" t="s">
        <v>400</v>
      </c>
      <c r="K540" s="271">
        <v>45996.0</v>
      </c>
      <c r="L540" s="45" t="s">
        <v>25</v>
      </c>
    </row>
    <row r="541">
      <c r="B541" s="272">
        <v>45995.0</v>
      </c>
      <c r="C541" s="45" t="s">
        <v>185</v>
      </c>
      <c r="D541" s="34"/>
      <c r="E541" s="45" t="s">
        <v>2002</v>
      </c>
      <c r="F541" s="34"/>
      <c r="G541" s="34" t="s">
        <v>22</v>
      </c>
      <c r="H541" s="45" t="s">
        <v>180</v>
      </c>
      <c r="I541" s="45" t="s">
        <v>459</v>
      </c>
      <c r="J541" s="45" t="s">
        <v>400</v>
      </c>
      <c r="K541" s="271">
        <v>45995.0</v>
      </c>
      <c r="L541" s="45" t="s">
        <v>33</v>
      </c>
    </row>
    <row r="542">
      <c r="B542" s="272">
        <v>45995.0</v>
      </c>
      <c r="C542" s="45" t="s">
        <v>2003</v>
      </c>
      <c r="D542" s="34">
        <v>9.34166915E8</v>
      </c>
      <c r="E542" s="45" t="s">
        <v>2004</v>
      </c>
      <c r="F542" s="34" t="s">
        <v>2005</v>
      </c>
      <c r="G542" s="34" t="s">
        <v>22</v>
      </c>
      <c r="H542" s="45" t="s">
        <v>183</v>
      </c>
      <c r="I542" s="45" t="s">
        <v>459</v>
      </c>
      <c r="J542" s="45" t="s">
        <v>33</v>
      </c>
      <c r="K542" s="271">
        <v>46000.0</v>
      </c>
      <c r="L542" s="45" t="s">
        <v>33</v>
      </c>
    </row>
    <row r="543">
      <c r="B543" s="272">
        <v>45995.0</v>
      </c>
      <c r="C543" s="45" t="s">
        <v>40</v>
      </c>
      <c r="D543" s="34"/>
      <c r="E543" s="45" t="s">
        <v>2006</v>
      </c>
      <c r="F543" s="34"/>
      <c r="G543" s="34" t="s">
        <v>22</v>
      </c>
      <c r="H543" s="45" t="s">
        <v>46</v>
      </c>
      <c r="I543" s="45" t="s">
        <v>2007</v>
      </c>
      <c r="J543" s="45" t="s">
        <v>33</v>
      </c>
      <c r="K543" s="271">
        <v>45996.0</v>
      </c>
      <c r="L543" s="45" t="s">
        <v>25</v>
      </c>
    </row>
    <row r="544">
      <c r="B544" s="272">
        <v>45997.0</v>
      </c>
      <c r="C544" s="45" t="s">
        <v>185</v>
      </c>
      <c r="D544" s="34"/>
      <c r="E544" s="45" t="s">
        <v>2008</v>
      </c>
      <c r="F544" s="34"/>
      <c r="G544" s="34" t="s">
        <v>55</v>
      </c>
      <c r="H544" s="45" t="s">
        <v>199</v>
      </c>
      <c r="I544" s="45" t="s">
        <v>2009</v>
      </c>
      <c r="J544" s="45" t="s">
        <v>33</v>
      </c>
      <c r="K544" s="271">
        <v>45997.0</v>
      </c>
      <c r="L544" s="45" t="s">
        <v>33</v>
      </c>
    </row>
    <row r="545">
      <c r="B545" s="272">
        <v>45997.0</v>
      </c>
      <c r="C545" s="45" t="s">
        <v>185</v>
      </c>
      <c r="D545" s="34"/>
      <c r="E545" s="45" t="s">
        <v>2010</v>
      </c>
      <c r="F545" s="34"/>
      <c r="G545" s="34" t="s">
        <v>55</v>
      </c>
      <c r="H545" s="45" t="s">
        <v>81</v>
      </c>
      <c r="I545" s="45" t="s">
        <v>1303</v>
      </c>
      <c r="J545" s="45" t="s">
        <v>33</v>
      </c>
      <c r="K545" s="271">
        <v>45997.0</v>
      </c>
      <c r="L545" s="45" t="s">
        <v>33</v>
      </c>
    </row>
    <row r="546">
      <c r="B546" s="272">
        <v>45997.0</v>
      </c>
      <c r="C546" s="45" t="s">
        <v>1995</v>
      </c>
      <c r="D546" s="34"/>
      <c r="E546" s="45" t="s">
        <v>2011</v>
      </c>
      <c r="F546" s="34" t="s">
        <v>2012</v>
      </c>
      <c r="G546" s="34" t="s">
        <v>2013</v>
      </c>
      <c r="H546" s="45" t="s">
        <v>81</v>
      </c>
      <c r="I546" s="45" t="s">
        <v>591</v>
      </c>
      <c r="J546" s="45" t="s">
        <v>33</v>
      </c>
      <c r="K546" s="265">
        <v>46001.0</v>
      </c>
      <c r="L546" s="45" t="s">
        <v>130</v>
      </c>
    </row>
    <row r="547">
      <c r="B547" s="272">
        <v>46000.0</v>
      </c>
      <c r="C547" s="45" t="s">
        <v>284</v>
      </c>
      <c r="D547" s="34"/>
      <c r="E547" s="45" t="s">
        <v>2014</v>
      </c>
      <c r="F547" s="34" t="s">
        <v>2015</v>
      </c>
      <c r="G547" s="34" t="s">
        <v>55</v>
      </c>
      <c r="H547" s="45" t="s">
        <v>81</v>
      </c>
      <c r="I547" s="45" t="s">
        <v>1706</v>
      </c>
      <c r="J547" s="45" t="s">
        <v>33</v>
      </c>
      <c r="K547" s="271">
        <v>46000.0</v>
      </c>
      <c r="L547" s="45" t="s">
        <v>33</v>
      </c>
    </row>
    <row r="548">
      <c r="B548" s="272">
        <v>46000.0</v>
      </c>
      <c r="C548" s="45" t="s">
        <v>284</v>
      </c>
      <c r="D548" s="34"/>
      <c r="E548" s="45" t="s">
        <v>66</v>
      </c>
      <c r="F548" s="34" t="s">
        <v>2016</v>
      </c>
      <c r="G548" s="34" t="s">
        <v>55</v>
      </c>
      <c r="H548" s="45" t="s">
        <v>81</v>
      </c>
      <c r="I548" s="45" t="s">
        <v>325</v>
      </c>
      <c r="J548" s="45" t="s">
        <v>33</v>
      </c>
      <c r="K548" s="265">
        <v>46001.0</v>
      </c>
      <c r="L548" s="45" t="s">
        <v>130</v>
      </c>
    </row>
    <row r="549">
      <c r="B549" s="272">
        <v>46000.0</v>
      </c>
      <c r="C549" s="45" t="s">
        <v>284</v>
      </c>
      <c r="D549" s="34"/>
      <c r="E549" s="45" t="s">
        <v>2017</v>
      </c>
      <c r="F549" s="34"/>
      <c r="G549" s="34" t="s">
        <v>2018</v>
      </c>
      <c r="H549" s="45" t="s">
        <v>81</v>
      </c>
      <c r="I549" s="45" t="s">
        <v>2019</v>
      </c>
      <c r="J549" s="45" t="s">
        <v>33</v>
      </c>
      <c r="K549" s="271">
        <v>46000.0</v>
      </c>
      <c r="L549" s="45" t="s">
        <v>33</v>
      </c>
    </row>
    <row r="550">
      <c r="B550" s="272">
        <v>46000.0</v>
      </c>
      <c r="C550" s="45" t="s">
        <v>185</v>
      </c>
      <c r="D550" s="34"/>
      <c r="E550" s="45" t="s">
        <v>2020</v>
      </c>
      <c r="F550" s="34"/>
      <c r="G550" s="34" t="s">
        <v>55</v>
      </c>
      <c r="H550" s="45" t="s">
        <v>199</v>
      </c>
      <c r="I550" s="45" t="s">
        <v>2021</v>
      </c>
      <c r="J550" s="45" t="s">
        <v>33</v>
      </c>
      <c r="K550" s="271">
        <v>46000.0</v>
      </c>
      <c r="L550" s="45" t="s">
        <v>33</v>
      </c>
    </row>
    <row r="551">
      <c r="B551" s="272">
        <v>46000.0</v>
      </c>
      <c r="C551" s="45" t="s">
        <v>185</v>
      </c>
      <c r="D551" s="34"/>
      <c r="E551" s="45" t="s">
        <v>2022</v>
      </c>
      <c r="F551" s="34"/>
      <c r="G551" s="34" t="s">
        <v>22</v>
      </c>
      <c r="H551" s="45" t="s">
        <v>183</v>
      </c>
      <c r="I551" s="45" t="s">
        <v>2021</v>
      </c>
      <c r="J551" s="45" t="s">
        <v>33</v>
      </c>
      <c r="K551" s="265">
        <v>46001.0</v>
      </c>
      <c r="L551" s="45" t="s">
        <v>130</v>
      </c>
    </row>
    <row r="552">
      <c r="B552" s="272">
        <v>46000.0</v>
      </c>
      <c r="C552" s="45" t="s">
        <v>185</v>
      </c>
      <c r="D552" s="34"/>
      <c r="E552" s="45" t="s">
        <v>2023</v>
      </c>
      <c r="F552" s="34"/>
      <c r="G552" s="34" t="s">
        <v>2024</v>
      </c>
      <c r="H552" s="45" t="s">
        <v>422</v>
      </c>
      <c r="I552" s="45" t="s">
        <v>2021</v>
      </c>
      <c r="J552" s="45" t="s">
        <v>33</v>
      </c>
      <c r="K552" s="271">
        <v>46000.0</v>
      </c>
      <c r="L552" s="45" t="s">
        <v>33</v>
      </c>
    </row>
    <row r="553">
      <c r="B553" s="272">
        <v>46000.0</v>
      </c>
      <c r="C553" s="45" t="s">
        <v>185</v>
      </c>
      <c r="D553" s="34"/>
      <c r="E553" s="45" t="s">
        <v>2025</v>
      </c>
      <c r="F553" s="34"/>
      <c r="G553" s="34" t="s">
        <v>55</v>
      </c>
      <c r="H553" s="45" t="s">
        <v>68</v>
      </c>
      <c r="I553" s="45" t="s">
        <v>2021</v>
      </c>
      <c r="J553" s="45" t="s">
        <v>33</v>
      </c>
      <c r="K553" s="271">
        <v>46000.0</v>
      </c>
      <c r="L553" s="45" t="s">
        <v>33</v>
      </c>
    </row>
    <row r="554">
      <c r="B554" s="270">
        <v>46001.0</v>
      </c>
      <c r="C554" s="45" t="s">
        <v>2026</v>
      </c>
      <c r="D554" s="34"/>
      <c r="E554" s="45" t="s">
        <v>2027</v>
      </c>
      <c r="F554" s="34" t="s">
        <v>2028</v>
      </c>
      <c r="G554" s="34" t="s">
        <v>55</v>
      </c>
      <c r="H554" s="45" t="s">
        <v>199</v>
      </c>
      <c r="I554" s="45" t="s">
        <v>2029</v>
      </c>
      <c r="J554" s="45" t="s">
        <v>36</v>
      </c>
      <c r="K554" s="265">
        <v>46001.0</v>
      </c>
      <c r="L554" s="45" t="s">
        <v>36</v>
      </c>
    </row>
    <row r="555">
      <c r="B555" s="270">
        <v>46001.0</v>
      </c>
      <c r="C555" s="45" t="s">
        <v>2026</v>
      </c>
      <c r="D555" s="34"/>
      <c r="E555" s="45" t="s">
        <v>2030</v>
      </c>
      <c r="F555" s="34" t="s">
        <v>2031</v>
      </c>
      <c r="G555" s="34" t="s">
        <v>55</v>
      </c>
      <c r="H555" s="45" t="s">
        <v>2032</v>
      </c>
      <c r="I555" s="45" t="s">
        <v>1624</v>
      </c>
      <c r="J555" s="45" t="s">
        <v>36</v>
      </c>
      <c r="K555" s="265">
        <v>46002.0</v>
      </c>
      <c r="L555" s="45" t="s">
        <v>36</v>
      </c>
    </row>
    <row r="556">
      <c r="B556" s="270">
        <v>46001.0</v>
      </c>
      <c r="C556" s="45" t="s">
        <v>2026</v>
      </c>
      <c r="D556" s="34"/>
      <c r="E556" s="45" t="s">
        <v>2033</v>
      </c>
      <c r="F556" s="34"/>
      <c r="G556" s="34" t="s">
        <v>2034</v>
      </c>
      <c r="H556" s="45" t="s">
        <v>199</v>
      </c>
      <c r="I556" s="45" t="s">
        <v>1624</v>
      </c>
      <c r="J556" s="45" t="s">
        <v>36</v>
      </c>
      <c r="K556" s="265">
        <v>46001.0</v>
      </c>
      <c r="L556" s="45" t="s">
        <v>130</v>
      </c>
    </row>
    <row r="557">
      <c r="A557" s="15"/>
      <c r="B557" s="244">
        <v>46002.0</v>
      </c>
      <c r="C557" s="65" t="s">
        <v>75</v>
      </c>
      <c r="D557" s="66"/>
      <c r="E557" s="65" t="s">
        <v>2035</v>
      </c>
      <c r="F557" s="66"/>
      <c r="G557" s="67" t="s">
        <v>22</v>
      </c>
      <c r="H557" s="65" t="s">
        <v>199</v>
      </c>
      <c r="I557" s="65" t="s">
        <v>2036</v>
      </c>
      <c r="J557" s="65" t="s">
        <v>36</v>
      </c>
      <c r="K557" s="273"/>
      <c r="L557" s="274"/>
      <c r="M557" s="223"/>
      <c r="N557" s="223"/>
      <c r="O557" s="223"/>
      <c r="P557" s="223"/>
      <c r="Q557" s="223"/>
      <c r="R557" s="223"/>
      <c r="S557" s="223"/>
      <c r="T557" s="223"/>
      <c r="U557" s="223"/>
      <c r="V557" s="223"/>
      <c r="W557" s="223"/>
      <c r="X557" s="223"/>
      <c r="Y557" s="223"/>
      <c r="Z557" s="223"/>
      <c r="AA557" s="223"/>
      <c r="AB557" s="223"/>
    </row>
    <row r="558">
      <c r="A558" s="15"/>
      <c r="B558" s="244">
        <v>46003.0</v>
      </c>
      <c r="C558" s="65" t="s">
        <v>149</v>
      </c>
      <c r="D558" s="66"/>
      <c r="E558" s="65" t="s">
        <v>2037</v>
      </c>
      <c r="F558" s="67" t="s">
        <v>2038</v>
      </c>
      <c r="G558" s="67" t="s">
        <v>2039</v>
      </c>
      <c r="H558" s="65" t="s">
        <v>68</v>
      </c>
      <c r="I558" s="65" t="s">
        <v>617</v>
      </c>
      <c r="J558" s="65" t="s">
        <v>25</v>
      </c>
      <c r="K558" s="256"/>
      <c r="L558" s="274"/>
      <c r="M558" s="223"/>
      <c r="N558" s="223"/>
      <c r="O558" s="223"/>
      <c r="P558" s="223"/>
      <c r="Q558" s="223"/>
      <c r="R558" s="223"/>
      <c r="S558" s="223"/>
      <c r="T558" s="223"/>
      <c r="U558" s="223"/>
      <c r="V558" s="223"/>
      <c r="W558" s="223"/>
      <c r="X558" s="223"/>
      <c r="Y558" s="223"/>
      <c r="Z558" s="223"/>
      <c r="AA558" s="223"/>
      <c r="AB558" s="223"/>
    </row>
    <row r="559">
      <c r="A559" s="45"/>
      <c r="B559" s="245">
        <v>46003.0</v>
      </c>
      <c r="C559" s="33" t="s">
        <v>149</v>
      </c>
      <c r="D559" s="34"/>
      <c r="E559" s="33" t="s">
        <v>2040</v>
      </c>
      <c r="F559" s="34"/>
      <c r="G559" s="35" t="s">
        <v>22</v>
      </c>
      <c r="H559" s="33" t="s">
        <v>109</v>
      </c>
      <c r="I559" s="33" t="s">
        <v>148</v>
      </c>
      <c r="J559" s="33" t="s">
        <v>25</v>
      </c>
      <c r="K559" s="249">
        <v>46004.0</v>
      </c>
      <c r="L559" s="35" t="s">
        <v>33</v>
      </c>
      <c r="M559" s="223"/>
      <c r="N559" s="223"/>
      <c r="O559" s="223"/>
      <c r="P559" s="223"/>
      <c r="Q559" s="223"/>
      <c r="R559" s="223"/>
      <c r="S559" s="223"/>
      <c r="T559" s="223"/>
      <c r="U559" s="223"/>
      <c r="V559" s="223"/>
      <c r="W559" s="223"/>
      <c r="X559" s="223"/>
      <c r="Y559" s="223"/>
      <c r="Z559" s="223"/>
      <c r="AA559" s="223"/>
      <c r="AB559" s="223"/>
    </row>
    <row r="560">
      <c r="A560" s="45"/>
      <c r="B560" s="245">
        <v>46003.0</v>
      </c>
      <c r="C560" s="33" t="s">
        <v>149</v>
      </c>
      <c r="D560" s="34"/>
      <c r="E560" s="33" t="s">
        <v>2041</v>
      </c>
      <c r="F560" s="35"/>
      <c r="G560" s="35" t="s">
        <v>22</v>
      </c>
      <c r="H560" s="33" t="s">
        <v>88</v>
      </c>
      <c r="I560" s="33" t="s">
        <v>2042</v>
      </c>
      <c r="J560" s="33" t="s">
        <v>25</v>
      </c>
      <c r="K560" s="229">
        <v>46004.0</v>
      </c>
      <c r="L560" s="35" t="s">
        <v>33</v>
      </c>
      <c r="M560" s="223"/>
      <c r="N560" s="223"/>
      <c r="O560" s="223"/>
      <c r="P560" s="223"/>
      <c r="Q560" s="223"/>
      <c r="R560" s="223"/>
      <c r="S560" s="223"/>
      <c r="T560" s="223"/>
      <c r="U560" s="223"/>
      <c r="V560" s="223"/>
      <c r="W560" s="223"/>
      <c r="X560" s="223"/>
      <c r="Y560" s="223"/>
      <c r="Z560" s="223"/>
      <c r="AA560" s="223"/>
      <c r="AB560" s="223"/>
    </row>
    <row r="561">
      <c r="A561" s="45"/>
      <c r="B561" s="76">
        <v>46003.0</v>
      </c>
      <c r="C561" s="33" t="s">
        <v>2043</v>
      </c>
      <c r="D561" s="34"/>
      <c r="E561" s="33" t="s">
        <v>83</v>
      </c>
      <c r="F561" s="34"/>
      <c r="G561" s="35" t="s">
        <v>22</v>
      </c>
      <c r="H561" s="33" t="s">
        <v>81</v>
      </c>
      <c r="I561" s="33" t="s">
        <v>2042</v>
      </c>
      <c r="J561" s="33" t="s">
        <v>25</v>
      </c>
      <c r="K561" s="249">
        <v>46004.0</v>
      </c>
      <c r="L561" s="35" t="s">
        <v>33</v>
      </c>
    </row>
    <row r="562">
      <c r="A562" s="275"/>
      <c r="B562" s="276">
        <v>46006.0</v>
      </c>
      <c r="C562" s="232" t="s">
        <v>226</v>
      </c>
      <c r="D562" s="233"/>
      <c r="E562" s="232" t="s">
        <v>1628</v>
      </c>
      <c r="F562" s="234" t="s">
        <v>1629</v>
      </c>
      <c r="G562" s="234" t="s">
        <v>22</v>
      </c>
      <c r="H562" s="232" t="s">
        <v>53</v>
      </c>
      <c r="I562" s="232" t="s">
        <v>2044</v>
      </c>
      <c r="J562" s="232" t="s">
        <v>95</v>
      </c>
      <c r="K562" s="277">
        <v>46010.0</v>
      </c>
      <c r="L562" s="234" t="s">
        <v>48</v>
      </c>
      <c r="M562" s="223"/>
      <c r="N562" s="223"/>
      <c r="O562" s="223"/>
      <c r="P562" s="223"/>
      <c r="Q562" s="223"/>
      <c r="R562" s="223"/>
      <c r="S562" s="223"/>
      <c r="T562" s="223"/>
      <c r="U562" s="223"/>
      <c r="V562" s="223"/>
      <c r="W562" s="223"/>
      <c r="X562" s="223"/>
      <c r="Y562" s="223"/>
      <c r="Z562" s="223"/>
      <c r="AA562" s="223"/>
      <c r="AB562" s="223"/>
    </row>
    <row r="563">
      <c r="A563" s="15"/>
      <c r="B563" s="64">
        <v>46006.0</v>
      </c>
      <c r="C563" s="65" t="s">
        <v>321</v>
      </c>
      <c r="D563" s="66"/>
      <c r="E563" s="65" t="s">
        <v>2045</v>
      </c>
      <c r="F563" s="66"/>
      <c r="G563" s="67" t="s">
        <v>22</v>
      </c>
      <c r="H563" s="65" t="s">
        <v>199</v>
      </c>
      <c r="I563" s="65" t="s">
        <v>1311</v>
      </c>
      <c r="J563" s="65" t="s">
        <v>36</v>
      </c>
      <c r="K563" s="256">
        <v>46010.0</v>
      </c>
      <c r="L563" s="67" t="s">
        <v>25</v>
      </c>
      <c r="M563" s="223"/>
      <c r="N563" s="223"/>
      <c r="O563" s="223"/>
      <c r="P563" s="223"/>
      <c r="Q563" s="223"/>
      <c r="R563" s="223"/>
      <c r="S563" s="223"/>
      <c r="T563" s="223"/>
      <c r="U563" s="223"/>
      <c r="V563" s="223"/>
      <c r="W563" s="223"/>
      <c r="X563" s="223"/>
      <c r="Y563" s="223"/>
      <c r="Z563" s="223"/>
      <c r="AA563" s="223"/>
      <c r="AB563" s="223"/>
    </row>
    <row r="564">
      <c r="A564" s="278"/>
      <c r="B564" s="279">
        <v>45980.0</v>
      </c>
      <c r="C564" s="86" t="s">
        <v>146</v>
      </c>
      <c r="D564" s="89"/>
      <c r="E564" s="86" t="s">
        <v>2046</v>
      </c>
      <c r="F564" s="89"/>
      <c r="G564" s="89" t="s">
        <v>22</v>
      </c>
      <c r="H564" s="86" t="s">
        <v>31</v>
      </c>
      <c r="I564" s="86" t="s">
        <v>1327</v>
      </c>
      <c r="J564" s="86" t="s">
        <v>130</v>
      </c>
      <c r="K564" s="280">
        <v>46008.0</v>
      </c>
      <c r="L564" s="89" t="s">
        <v>24</v>
      </c>
    </row>
    <row r="565">
      <c r="A565" s="80"/>
      <c r="B565" s="101">
        <v>45992.0</v>
      </c>
      <c r="C565" s="80" t="s">
        <v>95</v>
      </c>
      <c r="D565" s="83"/>
      <c r="E565" s="80" t="s">
        <v>2047</v>
      </c>
      <c r="F565" s="83"/>
      <c r="G565" s="83" t="s">
        <v>22</v>
      </c>
      <c r="H565" s="80" t="s">
        <v>156</v>
      </c>
      <c r="I565" s="80" t="s">
        <v>203</v>
      </c>
      <c r="J565" s="80" t="s">
        <v>95</v>
      </c>
      <c r="K565" s="281">
        <v>46006.0</v>
      </c>
      <c r="L565" s="83" t="s">
        <v>95</v>
      </c>
    </row>
    <row r="566">
      <c r="A566" s="80"/>
      <c r="B566" s="81">
        <v>45994.0</v>
      </c>
      <c r="C566" s="80" t="s">
        <v>1967</v>
      </c>
      <c r="D566" s="83"/>
      <c r="E566" s="80" t="s">
        <v>2048</v>
      </c>
      <c r="F566" s="83"/>
      <c r="G566" s="83" t="s">
        <v>2049</v>
      </c>
      <c r="H566" s="80" t="s">
        <v>68</v>
      </c>
      <c r="I566" s="80" t="s">
        <v>2050</v>
      </c>
      <c r="J566" s="80" t="s">
        <v>130</v>
      </c>
      <c r="K566" s="175" t="s">
        <v>2051</v>
      </c>
      <c r="L566" s="83" t="s">
        <v>33</v>
      </c>
    </row>
    <row r="567">
      <c r="A567" s="80"/>
      <c r="B567" s="255">
        <v>46002.0</v>
      </c>
      <c r="C567" s="80" t="s">
        <v>321</v>
      </c>
      <c r="D567" s="83"/>
      <c r="E567" s="80" t="s">
        <v>2052</v>
      </c>
      <c r="F567" s="83"/>
      <c r="G567" s="83" t="s">
        <v>22</v>
      </c>
      <c r="H567" s="80" t="s">
        <v>199</v>
      </c>
      <c r="I567" s="80" t="s">
        <v>148</v>
      </c>
      <c r="J567" s="80" t="s">
        <v>36</v>
      </c>
      <c r="K567" s="269">
        <v>46007.0</v>
      </c>
      <c r="L567" s="83" t="s">
        <v>33</v>
      </c>
    </row>
    <row r="568">
      <c r="A568" s="80"/>
      <c r="B568" s="255">
        <v>46003.0</v>
      </c>
      <c r="C568" s="80" t="s">
        <v>149</v>
      </c>
      <c r="D568" s="83"/>
      <c r="E568" s="80" t="s">
        <v>2053</v>
      </c>
      <c r="F568" s="83"/>
      <c r="G568" s="83" t="s">
        <v>22</v>
      </c>
      <c r="H568" s="80" t="s">
        <v>156</v>
      </c>
      <c r="I568" s="80" t="s">
        <v>148</v>
      </c>
      <c r="J568" s="80" t="s">
        <v>25</v>
      </c>
      <c r="K568" s="269">
        <v>46007.0</v>
      </c>
      <c r="L568" s="83" t="s">
        <v>33</v>
      </c>
    </row>
    <row r="569">
      <c r="A569" s="80"/>
      <c r="B569" s="81">
        <v>46003.0</v>
      </c>
      <c r="C569" s="80" t="s">
        <v>270</v>
      </c>
      <c r="D569" s="83"/>
      <c r="E569" s="80" t="s">
        <v>2054</v>
      </c>
      <c r="F569" s="268">
        <v>9.9308503E8</v>
      </c>
      <c r="G569" s="83" t="s">
        <v>22</v>
      </c>
      <c r="H569" s="80" t="s">
        <v>88</v>
      </c>
      <c r="I569" s="80" t="s">
        <v>272</v>
      </c>
      <c r="J569" s="80" t="s">
        <v>25</v>
      </c>
      <c r="K569" s="281">
        <v>46008.0</v>
      </c>
      <c r="L569" s="83" t="s">
        <v>95</v>
      </c>
    </row>
    <row r="570">
      <c r="A570" s="80"/>
      <c r="B570" s="81">
        <v>46003.0</v>
      </c>
      <c r="C570" s="80" t="s">
        <v>2055</v>
      </c>
      <c r="D570" s="83" t="s">
        <v>2056</v>
      </c>
      <c r="E570" s="80" t="s">
        <v>2057</v>
      </c>
      <c r="F570" s="282" t="s">
        <v>2058</v>
      </c>
      <c r="G570" s="83" t="s">
        <v>2059</v>
      </c>
      <c r="H570" s="80" t="s">
        <v>199</v>
      </c>
      <c r="I570" s="80" t="s">
        <v>617</v>
      </c>
      <c r="J570" s="80" t="s">
        <v>48</v>
      </c>
      <c r="K570" s="281">
        <v>46004.0</v>
      </c>
      <c r="L570" s="83" t="s">
        <v>33</v>
      </c>
    </row>
    <row r="571">
      <c r="A571" s="80"/>
      <c r="B571" s="81">
        <v>46004.0</v>
      </c>
      <c r="C571" s="80" t="s">
        <v>2060</v>
      </c>
      <c r="D571" s="268">
        <v>9.82505485E8</v>
      </c>
      <c r="E571" s="80" t="s">
        <v>29</v>
      </c>
      <c r="F571" s="83"/>
      <c r="G571" s="83" t="s">
        <v>22</v>
      </c>
      <c r="H571" s="80" t="s">
        <v>422</v>
      </c>
      <c r="I571" s="80" t="s">
        <v>2061</v>
      </c>
      <c r="J571" s="80" t="s">
        <v>33</v>
      </c>
      <c r="K571" s="281">
        <v>46004.0</v>
      </c>
      <c r="L571" s="83" t="s">
        <v>33</v>
      </c>
    </row>
    <row r="572">
      <c r="A572" s="80"/>
      <c r="B572" s="81">
        <v>46004.0</v>
      </c>
      <c r="C572" s="80" t="s">
        <v>2062</v>
      </c>
      <c r="D572" s="268">
        <v>9.88755121E8</v>
      </c>
      <c r="E572" s="80" t="s">
        <v>29</v>
      </c>
      <c r="F572" s="83"/>
      <c r="G572" s="83" t="s">
        <v>22</v>
      </c>
      <c r="H572" s="80" t="s">
        <v>280</v>
      </c>
      <c r="I572" s="80" t="s">
        <v>449</v>
      </c>
      <c r="J572" s="80" t="s">
        <v>33</v>
      </c>
      <c r="K572" s="281">
        <v>46004.0</v>
      </c>
      <c r="L572" s="83" t="s">
        <v>33</v>
      </c>
    </row>
    <row r="573">
      <c r="A573" s="80"/>
      <c r="B573" s="81">
        <v>46006.0</v>
      </c>
      <c r="C573" s="80" t="s">
        <v>95</v>
      </c>
      <c r="D573" s="83"/>
      <c r="E573" s="80" t="s">
        <v>2063</v>
      </c>
      <c r="F573" s="83" t="s">
        <v>2064</v>
      </c>
      <c r="G573" s="83" t="s">
        <v>22</v>
      </c>
      <c r="H573" s="80" t="s">
        <v>73</v>
      </c>
      <c r="I573" s="80" t="s">
        <v>69</v>
      </c>
      <c r="J573" s="80" t="s">
        <v>138</v>
      </c>
      <c r="K573" s="281">
        <v>46006.0</v>
      </c>
      <c r="L573" s="83" t="s">
        <v>95</v>
      </c>
    </row>
    <row r="574">
      <c r="A574" s="80"/>
      <c r="B574" s="81">
        <v>46006.0</v>
      </c>
      <c r="C574" s="80" t="s">
        <v>149</v>
      </c>
      <c r="D574" s="83"/>
      <c r="E574" s="80" t="s">
        <v>2065</v>
      </c>
      <c r="F574" s="83"/>
      <c r="G574" s="83" t="s">
        <v>22</v>
      </c>
      <c r="H574" s="80" t="s">
        <v>31</v>
      </c>
      <c r="I574" s="80" t="s">
        <v>69</v>
      </c>
      <c r="J574" s="80" t="s">
        <v>95</v>
      </c>
      <c r="K574" s="269">
        <v>46006.0</v>
      </c>
      <c r="L574" s="83" t="s">
        <v>95</v>
      </c>
    </row>
    <row r="575">
      <c r="A575" s="80"/>
      <c r="B575" s="81">
        <v>46006.0</v>
      </c>
      <c r="C575" s="80" t="s">
        <v>149</v>
      </c>
      <c r="D575" s="83"/>
      <c r="E575" s="80" t="s">
        <v>2066</v>
      </c>
      <c r="F575" s="83"/>
      <c r="G575" s="83" t="s">
        <v>22</v>
      </c>
      <c r="H575" s="80" t="s">
        <v>73</v>
      </c>
      <c r="I575" s="80" t="s">
        <v>69</v>
      </c>
      <c r="J575" s="80" t="s">
        <v>95</v>
      </c>
      <c r="K575" s="269">
        <v>46006.0</v>
      </c>
      <c r="L575" s="83" t="s">
        <v>95</v>
      </c>
    </row>
    <row r="576">
      <c r="A576" s="80"/>
      <c r="B576" s="81">
        <v>46006.0</v>
      </c>
      <c r="C576" s="80" t="s">
        <v>321</v>
      </c>
      <c r="D576" s="83"/>
      <c r="E576" s="80" t="s">
        <v>335</v>
      </c>
      <c r="F576" s="83"/>
      <c r="G576" s="83" t="s">
        <v>22</v>
      </c>
      <c r="H576" s="80" t="s">
        <v>46</v>
      </c>
      <c r="I576" s="80" t="s">
        <v>2067</v>
      </c>
      <c r="J576" s="80" t="s">
        <v>36</v>
      </c>
      <c r="K576" s="281">
        <v>46006.0</v>
      </c>
      <c r="L576" s="83" t="s">
        <v>95</v>
      </c>
    </row>
    <row r="577">
      <c r="A577" s="80"/>
      <c r="B577" s="81">
        <v>46006.0</v>
      </c>
      <c r="C577" s="80" t="s">
        <v>321</v>
      </c>
      <c r="D577" s="83"/>
      <c r="E577" s="80" t="s">
        <v>2068</v>
      </c>
      <c r="F577" s="83"/>
      <c r="G577" s="83" t="s">
        <v>22</v>
      </c>
      <c r="H577" s="80" t="s">
        <v>46</v>
      </c>
      <c r="I577" s="80" t="s">
        <v>133</v>
      </c>
      <c r="J577" s="80" t="s">
        <v>36</v>
      </c>
      <c r="K577" s="281">
        <v>46006.0</v>
      </c>
      <c r="L577" s="83" t="s">
        <v>95</v>
      </c>
    </row>
    <row r="578">
      <c r="A578" s="92"/>
      <c r="B578" s="283">
        <v>46007.0</v>
      </c>
      <c r="C578" s="92" t="s">
        <v>40</v>
      </c>
      <c r="D578" s="99"/>
      <c r="E578" s="92" t="s">
        <v>2069</v>
      </c>
      <c r="F578" s="99"/>
      <c r="G578" s="99" t="s">
        <v>22</v>
      </c>
      <c r="H578" s="92" t="s">
        <v>183</v>
      </c>
      <c r="I578" s="92" t="s">
        <v>2070</v>
      </c>
      <c r="J578" s="92" t="s">
        <v>33</v>
      </c>
      <c r="K578" s="247">
        <v>46007.0</v>
      </c>
      <c r="L578" s="99" t="s">
        <v>25</v>
      </c>
    </row>
    <row r="579">
      <c r="A579" s="80"/>
      <c r="B579" s="81">
        <v>46008.0</v>
      </c>
      <c r="C579" s="80" t="s">
        <v>2071</v>
      </c>
      <c r="D579" s="83"/>
      <c r="E579" s="80" t="s">
        <v>2072</v>
      </c>
      <c r="F579" s="83"/>
      <c r="G579" s="83" t="s">
        <v>22</v>
      </c>
      <c r="H579" s="80" t="s">
        <v>50</v>
      </c>
      <c r="I579" s="80" t="s">
        <v>2073</v>
      </c>
      <c r="J579" s="80" t="s">
        <v>33</v>
      </c>
      <c r="K579" s="281">
        <v>46007.0</v>
      </c>
      <c r="L579" s="83" t="s">
        <v>25</v>
      </c>
    </row>
    <row r="580">
      <c r="A580" s="80"/>
      <c r="B580" s="81">
        <v>46007.0</v>
      </c>
      <c r="C580" s="80" t="s">
        <v>2074</v>
      </c>
      <c r="D580" s="83"/>
      <c r="E580" s="80" t="s">
        <v>2075</v>
      </c>
      <c r="F580" s="83" t="s">
        <v>2076</v>
      </c>
      <c r="G580" s="83" t="s">
        <v>27</v>
      </c>
      <c r="H580" s="80" t="s">
        <v>180</v>
      </c>
      <c r="I580" s="80" t="s">
        <v>2077</v>
      </c>
      <c r="J580" s="80" t="s">
        <v>48</v>
      </c>
      <c r="K580" s="281">
        <v>46007.0</v>
      </c>
      <c r="L580" s="83" t="s">
        <v>33</v>
      </c>
    </row>
    <row r="581">
      <c r="A581" s="45"/>
      <c r="B581" s="69">
        <v>46007.0</v>
      </c>
      <c r="C581" s="33" t="s">
        <v>359</v>
      </c>
      <c r="D581" s="34"/>
      <c r="E581" s="33" t="s">
        <v>2078</v>
      </c>
      <c r="F581" s="34"/>
      <c r="G581" s="35" t="s">
        <v>187</v>
      </c>
      <c r="H581" s="33" t="s">
        <v>68</v>
      </c>
      <c r="I581" s="33" t="s">
        <v>2079</v>
      </c>
      <c r="J581" s="33" t="s">
        <v>33</v>
      </c>
      <c r="K581" s="254">
        <v>46009.0</v>
      </c>
      <c r="L581" s="35" t="s">
        <v>36</v>
      </c>
      <c r="M581" s="223"/>
      <c r="N581" s="223"/>
      <c r="O581" s="223"/>
      <c r="P581" s="223"/>
      <c r="Q581" s="223"/>
      <c r="R581" s="223"/>
      <c r="S581" s="223"/>
      <c r="T581" s="223"/>
      <c r="U581" s="223"/>
      <c r="V581" s="223"/>
      <c r="W581" s="223"/>
      <c r="X581" s="223"/>
      <c r="Y581" s="223"/>
      <c r="Z581" s="223"/>
      <c r="AA581" s="223"/>
      <c r="AB581" s="223"/>
    </row>
    <row r="582">
      <c r="A582" s="45"/>
      <c r="B582" s="69">
        <v>46009.0</v>
      </c>
      <c r="C582" s="33" t="s">
        <v>75</v>
      </c>
      <c r="D582" s="34"/>
      <c r="E582" s="33" t="s">
        <v>2080</v>
      </c>
      <c r="F582" s="33" t="s">
        <v>2081</v>
      </c>
      <c r="G582" s="35" t="s">
        <v>22</v>
      </c>
      <c r="H582" s="33" t="s">
        <v>81</v>
      </c>
      <c r="I582" s="33" t="s">
        <v>1624</v>
      </c>
      <c r="J582" s="33" t="s">
        <v>36</v>
      </c>
      <c r="K582" s="254">
        <v>46009.0</v>
      </c>
      <c r="L582" s="35" t="s">
        <v>95</v>
      </c>
      <c r="M582" s="223"/>
      <c r="N582" s="223"/>
      <c r="O582" s="223"/>
      <c r="P582" s="223"/>
      <c r="Q582" s="223"/>
      <c r="R582" s="223"/>
      <c r="S582" s="223"/>
      <c r="T582" s="223"/>
      <c r="U582" s="223"/>
      <c r="V582" s="223"/>
      <c r="W582" s="223"/>
      <c r="X582" s="223"/>
      <c r="Y582" s="223"/>
      <c r="Z582" s="223"/>
      <c r="AA582" s="223"/>
      <c r="AB582" s="223"/>
    </row>
    <row r="583">
      <c r="A583" s="15"/>
      <c r="B583" s="64">
        <v>46009.0</v>
      </c>
      <c r="C583" s="65" t="s">
        <v>75</v>
      </c>
      <c r="D583" s="67"/>
      <c r="E583" s="65" t="s">
        <v>2082</v>
      </c>
      <c r="F583" s="284"/>
      <c r="G583" s="67" t="s">
        <v>22</v>
      </c>
      <c r="H583" s="65" t="s">
        <v>81</v>
      </c>
      <c r="I583" s="65" t="s">
        <v>1624</v>
      </c>
      <c r="J583" s="65" t="s">
        <v>36</v>
      </c>
      <c r="K583" s="256">
        <v>46011.0</v>
      </c>
      <c r="L583" s="67" t="s">
        <v>48</v>
      </c>
      <c r="M583" s="223"/>
      <c r="N583" s="223"/>
      <c r="O583" s="223"/>
      <c r="P583" s="223"/>
      <c r="Q583" s="223"/>
      <c r="R583" s="223"/>
      <c r="S583" s="223"/>
      <c r="T583" s="223"/>
      <c r="U583" s="223"/>
      <c r="V583" s="223"/>
      <c r="W583" s="223"/>
      <c r="X583" s="223"/>
      <c r="Y583" s="223"/>
      <c r="Z583" s="223"/>
      <c r="AA583" s="223"/>
      <c r="AB583" s="223"/>
    </row>
    <row r="584">
      <c r="A584" s="45"/>
      <c r="B584" s="69">
        <v>46009.0</v>
      </c>
      <c r="C584" s="33" t="s">
        <v>75</v>
      </c>
      <c r="D584" s="34"/>
      <c r="E584" s="33" t="s">
        <v>2083</v>
      </c>
      <c r="F584" s="34"/>
      <c r="G584" s="35" t="s">
        <v>22</v>
      </c>
      <c r="H584" s="33" t="s">
        <v>81</v>
      </c>
      <c r="I584" s="33" t="s">
        <v>1624</v>
      </c>
      <c r="J584" s="33" t="s">
        <v>36</v>
      </c>
      <c r="K584" s="254">
        <v>46013.0</v>
      </c>
      <c r="L584" s="35" t="s">
        <v>95</v>
      </c>
      <c r="M584" s="223"/>
      <c r="N584" s="223"/>
      <c r="O584" s="223"/>
      <c r="P584" s="223"/>
      <c r="Q584" s="223"/>
      <c r="R584" s="223"/>
      <c r="S584" s="223"/>
      <c r="T584" s="223"/>
      <c r="U584" s="223"/>
      <c r="V584" s="223"/>
      <c r="W584" s="223"/>
      <c r="X584" s="223"/>
      <c r="Y584" s="223"/>
      <c r="Z584" s="223"/>
      <c r="AA584" s="223"/>
      <c r="AB584" s="223"/>
    </row>
    <row r="585">
      <c r="A585" s="45"/>
      <c r="B585" s="69">
        <v>46009.0</v>
      </c>
      <c r="C585" s="33" t="s">
        <v>75</v>
      </c>
      <c r="D585" s="34"/>
      <c r="E585" s="33" t="s">
        <v>2084</v>
      </c>
      <c r="F585" s="34"/>
      <c r="G585" s="35" t="s">
        <v>22</v>
      </c>
      <c r="H585" s="33" t="s">
        <v>81</v>
      </c>
      <c r="I585" s="33" t="s">
        <v>1624</v>
      </c>
      <c r="J585" s="33" t="s">
        <v>36</v>
      </c>
      <c r="K585" s="249">
        <v>46009.0</v>
      </c>
      <c r="L585" s="35" t="s">
        <v>95</v>
      </c>
    </row>
    <row r="586">
      <c r="A586" s="45"/>
      <c r="B586" s="69">
        <v>46009.0</v>
      </c>
      <c r="C586" s="33" t="s">
        <v>44</v>
      </c>
      <c r="D586" s="34"/>
      <c r="E586" s="33" t="s">
        <v>2085</v>
      </c>
      <c r="F586" s="34"/>
      <c r="G586" s="35" t="s">
        <v>22</v>
      </c>
      <c r="H586" s="33" t="s">
        <v>215</v>
      </c>
      <c r="I586" s="33" t="s">
        <v>2086</v>
      </c>
      <c r="J586" s="33" t="s">
        <v>24</v>
      </c>
      <c r="K586" s="249">
        <v>46009.0</v>
      </c>
      <c r="L586" s="35" t="s">
        <v>95</v>
      </c>
      <c r="M586" s="223"/>
      <c r="N586" s="223"/>
      <c r="O586" s="223"/>
      <c r="P586" s="223"/>
      <c r="Q586" s="223"/>
      <c r="R586" s="223"/>
      <c r="S586" s="223"/>
      <c r="T586" s="223"/>
      <c r="U586" s="223"/>
      <c r="V586" s="223"/>
      <c r="W586" s="223"/>
      <c r="X586" s="223"/>
      <c r="Y586" s="223"/>
      <c r="Z586" s="223"/>
      <c r="AA586" s="223"/>
      <c r="AB586" s="223"/>
    </row>
    <row r="587">
      <c r="A587" s="45"/>
      <c r="B587" s="69">
        <v>46009.0</v>
      </c>
      <c r="C587" s="33" t="s">
        <v>2087</v>
      </c>
      <c r="D587" s="35">
        <v>9.63658696E8</v>
      </c>
      <c r="E587" s="33" t="s">
        <v>2088</v>
      </c>
      <c r="F587" s="35"/>
      <c r="G587" s="35" t="s">
        <v>22</v>
      </c>
      <c r="H587" s="33" t="s">
        <v>156</v>
      </c>
      <c r="I587" s="33" t="s">
        <v>69</v>
      </c>
      <c r="J587" s="33" t="s">
        <v>95</v>
      </c>
      <c r="K587" s="229">
        <v>46014.0</v>
      </c>
      <c r="L587" s="35"/>
    </row>
    <row r="588">
      <c r="A588" s="45"/>
      <c r="B588" s="69">
        <v>46009.0</v>
      </c>
      <c r="C588" s="33" t="s">
        <v>2087</v>
      </c>
      <c r="D588" s="35">
        <v>9.63658696E8</v>
      </c>
      <c r="E588" s="33" t="s">
        <v>2089</v>
      </c>
      <c r="F588" s="35"/>
      <c r="G588" s="35" t="s">
        <v>22</v>
      </c>
      <c r="H588" s="33" t="s">
        <v>156</v>
      </c>
      <c r="I588" s="33" t="s">
        <v>2090</v>
      </c>
      <c r="J588" s="33" t="s">
        <v>95</v>
      </c>
      <c r="K588" s="254"/>
      <c r="L588" s="35"/>
    </row>
    <row r="589" ht="14.25" customHeight="1">
      <c r="A589" s="45"/>
      <c r="B589" s="69">
        <v>46009.0</v>
      </c>
      <c r="C589" s="33" t="s">
        <v>40</v>
      </c>
      <c r="D589" s="34"/>
      <c r="E589" s="33" t="s">
        <v>40</v>
      </c>
      <c r="F589" s="34"/>
      <c r="G589" s="35" t="s">
        <v>22</v>
      </c>
      <c r="H589" s="33" t="s">
        <v>183</v>
      </c>
      <c r="I589" s="33" t="s">
        <v>591</v>
      </c>
      <c r="J589" s="33" t="s">
        <v>33</v>
      </c>
      <c r="K589" s="254"/>
      <c r="L589" s="35"/>
      <c r="M589" s="223"/>
      <c r="N589" s="223"/>
      <c r="O589" s="223"/>
      <c r="P589" s="223"/>
      <c r="Q589" s="223"/>
      <c r="R589" s="223"/>
      <c r="S589" s="223"/>
      <c r="T589" s="223"/>
      <c r="U589" s="223"/>
      <c r="V589" s="223"/>
      <c r="W589" s="223"/>
      <c r="X589" s="223"/>
      <c r="Y589" s="223"/>
      <c r="Z589" s="223"/>
      <c r="AA589" s="223"/>
      <c r="AB589" s="223"/>
    </row>
    <row r="590">
      <c r="A590" s="45"/>
      <c r="B590" s="69">
        <v>46010.0</v>
      </c>
      <c r="C590" s="33" t="s">
        <v>2091</v>
      </c>
      <c r="D590" s="34"/>
      <c r="E590" s="33" t="s">
        <v>2092</v>
      </c>
      <c r="F590" s="35"/>
      <c r="G590" s="35" t="s">
        <v>85</v>
      </c>
      <c r="H590" s="33" t="s">
        <v>183</v>
      </c>
      <c r="I590" s="33" t="s">
        <v>2093</v>
      </c>
      <c r="J590" s="33"/>
      <c r="K590" s="229">
        <v>46013.0</v>
      </c>
      <c r="L590" s="35" t="s">
        <v>95</v>
      </c>
    </row>
    <row r="591">
      <c r="A591" s="92"/>
      <c r="B591" s="283">
        <v>46010.0</v>
      </c>
      <c r="C591" s="92" t="s">
        <v>2094</v>
      </c>
      <c r="D591" s="99"/>
      <c r="E591" s="92" t="s">
        <v>2095</v>
      </c>
      <c r="F591" s="99"/>
      <c r="G591" s="99" t="s">
        <v>2096</v>
      </c>
      <c r="H591" s="92" t="s">
        <v>46</v>
      </c>
      <c r="I591" s="92" t="s">
        <v>706</v>
      </c>
      <c r="J591" s="92" t="s">
        <v>418</v>
      </c>
      <c r="K591" s="285">
        <v>46011.0</v>
      </c>
      <c r="L591" s="99" t="s">
        <v>48</v>
      </c>
    </row>
    <row r="592">
      <c r="A592" s="45"/>
      <c r="B592" s="69">
        <v>46010.0</v>
      </c>
      <c r="C592" s="33" t="s">
        <v>2091</v>
      </c>
      <c r="D592" s="34"/>
      <c r="E592" s="33" t="s">
        <v>2097</v>
      </c>
      <c r="F592" s="34"/>
      <c r="G592" s="35" t="s">
        <v>85</v>
      </c>
      <c r="H592" s="33" t="s">
        <v>68</v>
      </c>
      <c r="I592" s="33" t="s">
        <v>2093</v>
      </c>
      <c r="J592" s="33"/>
      <c r="K592" s="254"/>
      <c r="L592" s="35"/>
      <c r="M592" s="286"/>
      <c r="N592" s="223"/>
      <c r="O592" s="223"/>
      <c r="P592" s="223"/>
      <c r="Q592" s="223"/>
      <c r="R592" s="223"/>
      <c r="S592" s="223"/>
      <c r="T592" s="223"/>
      <c r="U592" s="223"/>
      <c r="V592" s="223"/>
      <c r="W592" s="223"/>
      <c r="X592" s="223"/>
      <c r="Y592" s="223"/>
      <c r="Z592" s="223"/>
      <c r="AA592" s="223"/>
      <c r="AB592" s="223"/>
    </row>
    <row r="593">
      <c r="A593" s="92"/>
      <c r="B593" s="283">
        <v>46011.0</v>
      </c>
      <c r="C593" s="92" t="s">
        <v>2098</v>
      </c>
      <c r="D593" s="99"/>
      <c r="E593" s="92" t="s">
        <v>2099</v>
      </c>
      <c r="F593" s="99" t="s">
        <v>2100</v>
      </c>
      <c r="G593" s="99" t="s">
        <v>85</v>
      </c>
      <c r="H593" s="92" t="s">
        <v>199</v>
      </c>
      <c r="I593" s="92" t="s">
        <v>2101</v>
      </c>
      <c r="J593" s="92" t="s">
        <v>48</v>
      </c>
      <c r="K593" s="247">
        <v>46011.0</v>
      </c>
      <c r="L593" s="99"/>
    </row>
    <row r="594">
      <c r="A594" s="80"/>
      <c r="B594" s="81">
        <v>46011.0</v>
      </c>
      <c r="C594" s="80" t="s">
        <v>2102</v>
      </c>
      <c r="D594" s="83"/>
      <c r="E594" s="80" t="s">
        <v>2103</v>
      </c>
      <c r="F594" s="83"/>
      <c r="G594" s="83" t="s">
        <v>85</v>
      </c>
      <c r="H594" s="80" t="s">
        <v>81</v>
      </c>
      <c r="I594" s="80" t="s">
        <v>706</v>
      </c>
      <c r="J594" s="80" t="s">
        <v>48</v>
      </c>
      <c r="K594" s="287"/>
      <c r="L594" s="83"/>
    </row>
    <row r="595">
      <c r="A595" s="92"/>
      <c r="B595" s="283">
        <v>46011.0</v>
      </c>
      <c r="C595" s="92" t="s">
        <v>2102</v>
      </c>
      <c r="D595" s="99"/>
      <c r="E595" s="92" t="s">
        <v>2104</v>
      </c>
      <c r="F595" s="99"/>
      <c r="G595" s="99" t="s">
        <v>85</v>
      </c>
      <c r="H595" s="92" t="s">
        <v>81</v>
      </c>
      <c r="I595" s="92" t="s">
        <v>706</v>
      </c>
      <c r="J595" s="92" t="s">
        <v>48</v>
      </c>
      <c r="K595" s="285">
        <v>46011.0</v>
      </c>
      <c r="L595" s="99" t="s">
        <v>48</v>
      </c>
    </row>
    <row r="596">
      <c r="A596" s="80"/>
      <c r="B596" s="255">
        <v>46011.0</v>
      </c>
      <c r="C596" s="80" t="s">
        <v>2105</v>
      </c>
      <c r="D596" s="268">
        <f>56934402668</f>
        <v>56934402668</v>
      </c>
      <c r="E596" s="80" t="s">
        <v>29</v>
      </c>
      <c r="F596" s="83"/>
      <c r="G596" s="83" t="s">
        <v>55</v>
      </c>
      <c r="H596" s="80" t="s">
        <v>680</v>
      </c>
      <c r="I596" s="80" t="s">
        <v>2106</v>
      </c>
      <c r="J596" s="80" t="s">
        <v>33</v>
      </c>
      <c r="K596" s="269">
        <v>46013.0</v>
      </c>
      <c r="L596" s="83" t="s">
        <v>95</v>
      </c>
    </row>
    <row r="597">
      <c r="A597" s="80"/>
      <c r="B597" s="255">
        <v>46013.0</v>
      </c>
      <c r="C597" s="80" t="s">
        <v>2102</v>
      </c>
      <c r="D597" s="83"/>
      <c r="E597" s="80" t="s">
        <v>2107</v>
      </c>
      <c r="F597" s="83"/>
      <c r="G597" s="83" t="s">
        <v>22</v>
      </c>
      <c r="H597" s="80" t="s">
        <v>73</v>
      </c>
      <c r="I597" s="80" t="s">
        <v>69</v>
      </c>
      <c r="J597" s="80" t="s">
        <v>95</v>
      </c>
      <c r="K597" s="269">
        <v>46014.0</v>
      </c>
      <c r="L597" s="83" t="s">
        <v>33</v>
      </c>
    </row>
    <row r="598">
      <c r="A598" s="86"/>
      <c r="B598" s="279">
        <v>46013.0</v>
      </c>
      <c r="C598" s="86" t="s">
        <v>2102</v>
      </c>
      <c r="D598" s="89"/>
      <c r="E598" s="86" t="s">
        <v>2108</v>
      </c>
      <c r="F598" s="89"/>
      <c r="G598" s="89" t="s">
        <v>22</v>
      </c>
      <c r="H598" s="86" t="s">
        <v>135</v>
      </c>
      <c r="I598" s="86" t="s">
        <v>69</v>
      </c>
      <c r="J598" s="86" t="s">
        <v>95</v>
      </c>
      <c r="K598" s="280">
        <v>46013.0</v>
      </c>
      <c r="L598" s="89" t="s">
        <v>24</v>
      </c>
    </row>
    <row r="599">
      <c r="A599" s="80"/>
      <c r="B599" s="101">
        <v>46013.0</v>
      </c>
      <c r="C599" s="80" t="s">
        <v>2102</v>
      </c>
      <c r="D599" s="83"/>
      <c r="E599" s="80" t="s">
        <v>2109</v>
      </c>
      <c r="F599" s="83"/>
      <c r="G599" s="83" t="s">
        <v>22</v>
      </c>
      <c r="H599" s="80" t="s">
        <v>63</v>
      </c>
      <c r="I599" s="80" t="s">
        <v>69</v>
      </c>
      <c r="J599" s="80" t="s">
        <v>95</v>
      </c>
      <c r="K599" s="269">
        <v>46014.0</v>
      </c>
      <c r="L599" s="83" t="s">
        <v>33</v>
      </c>
    </row>
    <row r="600">
      <c r="A600" s="80"/>
      <c r="B600" s="101">
        <v>46013.0</v>
      </c>
      <c r="C600" s="80" t="s">
        <v>2102</v>
      </c>
      <c r="D600" s="83"/>
      <c r="E600" s="80" t="s">
        <v>2110</v>
      </c>
      <c r="F600" s="83"/>
      <c r="G600" s="83" t="s">
        <v>22</v>
      </c>
      <c r="H600" s="80" t="s">
        <v>332</v>
      </c>
      <c r="I600" s="80" t="s">
        <v>69</v>
      </c>
      <c r="J600" s="80" t="s">
        <v>95</v>
      </c>
      <c r="K600" s="269">
        <v>46014.0</v>
      </c>
      <c r="L600" s="83" t="s">
        <v>33</v>
      </c>
    </row>
    <row r="601">
      <c r="A601" s="80"/>
      <c r="B601" s="101">
        <v>46013.0</v>
      </c>
      <c r="C601" s="80" t="s">
        <v>2102</v>
      </c>
      <c r="D601" s="83"/>
      <c r="E601" s="80" t="s">
        <v>2111</v>
      </c>
      <c r="F601" s="83"/>
      <c r="G601" s="83" t="s">
        <v>2112</v>
      </c>
      <c r="H601" s="80" t="s">
        <v>332</v>
      </c>
      <c r="I601" s="80" t="s">
        <v>69</v>
      </c>
      <c r="J601" s="80" t="s">
        <v>95</v>
      </c>
      <c r="K601" s="269">
        <v>46014.0</v>
      </c>
      <c r="L601" s="83" t="s">
        <v>33</v>
      </c>
    </row>
    <row r="602">
      <c r="A602" s="80"/>
      <c r="B602" s="101">
        <v>46013.0</v>
      </c>
      <c r="C602" s="80" t="s">
        <v>2102</v>
      </c>
      <c r="D602" s="83"/>
      <c r="E602" s="80" t="s">
        <v>2113</v>
      </c>
      <c r="F602" s="83"/>
      <c r="G602" s="83" t="s">
        <v>22</v>
      </c>
      <c r="H602" s="80" t="s">
        <v>31</v>
      </c>
      <c r="I602" s="80" t="s">
        <v>69</v>
      </c>
      <c r="J602" s="80" t="s">
        <v>95</v>
      </c>
      <c r="K602" s="288">
        <v>46013.0</v>
      </c>
      <c r="L602" s="83" t="s">
        <v>95</v>
      </c>
    </row>
    <row r="603">
      <c r="A603" s="80"/>
      <c r="B603" s="101">
        <v>46013.0</v>
      </c>
      <c r="C603" s="80" t="s">
        <v>570</v>
      </c>
      <c r="D603" s="83"/>
      <c r="E603" s="80" t="s">
        <v>2114</v>
      </c>
      <c r="F603" s="83"/>
      <c r="G603" s="83" t="s">
        <v>22</v>
      </c>
      <c r="H603" s="80" t="s">
        <v>53</v>
      </c>
      <c r="I603" s="80" t="s">
        <v>69</v>
      </c>
      <c r="J603" s="80" t="s">
        <v>95</v>
      </c>
      <c r="K603" s="269">
        <v>46014.0</v>
      </c>
      <c r="L603" s="83" t="s">
        <v>33</v>
      </c>
    </row>
    <row r="604">
      <c r="A604" s="80"/>
      <c r="B604" s="101">
        <v>46013.0</v>
      </c>
      <c r="C604" s="80" t="s">
        <v>570</v>
      </c>
      <c r="D604" s="83"/>
      <c r="E604" s="80" t="s">
        <v>2115</v>
      </c>
      <c r="F604" s="83"/>
      <c r="G604" s="83" t="s">
        <v>22</v>
      </c>
      <c r="H604" s="80" t="s">
        <v>53</v>
      </c>
      <c r="I604" s="80" t="s">
        <v>69</v>
      </c>
      <c r="J604" s="80" t="s">
        <v>95</v>
      </c>
      <c r="K604" s="175"/>
      <c r="L604" s="83"/>
    </row>
    <row r="605">
      <c r="A605" s="80"/>
      <c r="B605" s="101">
        <v>46013.0</v>
      </c>
      <c r="C605" s="80" t="s">
        <v>2116</v>
      </c>
      <c r="D605" s="83"/>
      <c r="E605" s="80" t="s">
        <v>146</v>
      </c>
      <c r="F605" s="83"/>
      <c r="G605" s="83" t="s">
        <v>22</v>
      </c>
      <c r="H605" s="80" t="s">
        <v>93</v>
      </c>
      <c r="I605" s="80" t="s">
        <v>2117</v>
      </c>
      <c r="J605" s="80" t="s">
        <v>95</v>
      </c>
      <c r="K605" s="288">
        <v>46013.0</v>
      </c>
      <c r="L605" s="83" t="s">
        <v>95</v>
      </c>
    </row>
    <row r="606">
      <c r="A606" s="86"/>
      <c r="B606" s="87">
        <v>46013.0</v>
      </c>
      <c r="C606" s="86" t="s">
        <v>206</v>
      </c>
      <c r="D606" s="89"/>
      <c r="E606" s="86" t="s">
        <v>1016</v>
      </c>
      <c r="F606" s="89"/>
      <c r="G606" s="89" t="s">
        <v>22</v>
      </c>
      <c r="H606" s="86" t="s">
        <v>135</v>
      </c>
      <c r="I606" s="86" t="s">
        <v>69</v>
      </c>
      <c r="J606" s="86"/>
      <c r="K606" s="289">
        <v>46015.0</v>
      </c>
      <c r="L606" s="89" t="s">
        <v>24</v>
      </c>
    </row>
    <row r="607">
      <c r="A607" s="80"/>
      <c r="B607" s="101">
        <v>46013.0</v>
      </c>
      <c r="C607" s="80" t="s">
        <v>206</v>
      </c>
      <c r="D607" s="83"/>
      <c r="E607" s="80" t="s">
        <v>849</v>
      </c>
      <c r="F607" s="83"/>
      <c r="G607" s="83" t="s">
        <v>2118</v>
      </c>
      <c r="H607" s="80" t="s">
        <v>135</v>
      </c>
      <c r="I607" s="80" t="s">
        <v>69</v>
      </c>
      <c r="J607" s="80"/>
      <c r="K607" s="269">
        <v>46014.0</v>
      </c>
      <c r="L607" s="83" t="s">
        <v>33</v>
      </c>
    </row>
    <row r="608">
      <c r="A608" s="80"/>
      <c r="B608" s="101">
        <v>46014.0</v>
      </c>
      <c r="C608" s="80" t="s">
        <v>321</v>
      </c>
      <c r="D608" s="83"/>
      <c r="E608" s="80" t="s">
        <v>1016</v>
      </c>
      <c r="F608" s="83"/>
      <c r="G608" s="83" t="s">
        <v>22</v>
      </c>
      <c r="H608" s="80" t="s">
        <v>46</v>
      </c>
      <c r="I608" s="80" t="s">
        <v>1161</v>
      </c>
      <c r="J608" s="80" t="s">
        <v>36</v>
      </c>
      <c r="K608" s="269">
        <v>46014.0</v>
      </c>
      <c r="L608" s="83" t="s">
        <v>33</v>
      </c>
    </row>
    <row r="609">
      <c r="A609" s="80"/>
      <c r="B609" s="101">
        <v>46014.0</v>
      </c>
      <c r="C609" s="80" t="s">
        <v>2102</v>
      </c>
      <c r="D609" s="83"/>
      <c r="E609" s="80" t="s">
        <v>2119</v>
      </c>
      <c r="F609" s="83"/>
      <c r="G609" s="83" t="s">
        <v>22</v>
      </c>
      <c r="H609" s="80" t="s">
        <v>199</v>
      </c>
      <c r="I609" s="80"/>
      <c r="J609" s="80" t="s">
        <v>36</v>
      </c>
      <c r="K609" s="269">
        <v>46014.0</v>
      </c>
      <c r="L609" s="83" t="s">
        <v>33</v>
      </c>
    </row>
    <row r="610">
      <c r="A610" s="86"/>
      <c r="B610" s="87">
        <v>46014.0</v>
      </c>
      <c r="C610" s="86" t="s">
        <v>2102</v>
      </c>
      <c r="D610" s="89"/>
      <c r="E610" s="86" t="s">
        <v>2120</v>
      </c>
      <c r="F610" s="89"/>
      <c r="G610" s="89" t="s">
        <v>22</v>
      </c>
      <c r="H610" s="86" t="s">
        <v>199</v>
      </c>
      <c r="I610" s="86"/>
      <c r="J610" s="86" t="s">
        <v>206</v>
      </c>
      <c r="K610" s="280">
        <v>46015.0</v>
      </c>
      <c r="L610" s="89" t="s">
        <v>24</v>
      </c>
    </row>
    <row r="611">
      <c r="A611" s="80"/>
      <c r="B611" s="101">
        <v>46014.0</v>
      </c>
      <c r="C611" s="80" t="s">
        <v>2102</v>
      </c>
      <c r="D611" s="83"/>
      <c r="E611" s="80" t="s">
        <v>2121</v>
      </c>
      <c r="F611" s="83"/>
      <c r="G611" s="83" t="s">
        <v>22</v>
      </c>
      <c r="H611" s="80" t="s">
        <v>183</v>
      </c>
      <c r="I611" s="80"/>
      <c r="J611" s="80" t="s">
        <v>206</v>
      </c>
      <c r="K611" s="269">
        <v>46014.0</v>
      </c>
      <c r="L611" s="83" t="s">
        <v>33</v>
      </c>
    </row>
    <row r="612">
      <c r="A612" s="80"/>
      <c r="B612" s="101">
        <v>46014.0</v>
      </c>
      <c r="C612" s="80" t="s">
        <v>2102</v>
      </c>
      <c r="D612" s="83"/>
      <c r="E612" s="80" t="s">
        <v>2122</v>
      </c>
      <c r="F612" s="83"/>
      <c r="G612" s="83" t="s">
        <v>22</v>
      </c>
      <c r="H612" s="80" t="s">
        <v>422</v>
      </c>
      <c r="I612" s="80"/>
      <c r="J612" s="80" t="s">
        <v>206</v>
      </c>
      <c r="K612" s="269">
        <v>46014.0</v>
      </c>
      <c r="L612" s="83" t="s">
        <v>33</v>
      </c>
    </row>
    <row r="613">
      <c r="A613" s="86"/>
      <c r="B613" s="87">
        <v>46014.0</v>
      </c>
      <c r="C613" s="86" t="s">
        <v>2102</v>
      </c>
      <c r="D613" s="89"/>
      <c r="E613" s="86" t="s">
        <v>2123</v>
      </c>
      <c r="F613" s="89"/>
      <c r="G613" s="89" t="s">
        <v>22</v>
      </c>
      <c r="H613" s="86" t="s">
        <v>422</v>
      </c>
      <c r="I613" s="86"/>
      <c r="J613" s="86" t="s">
        <v>206</v>
      </c>
      <c r="K613" s="280">
        <v>46014.0</v>
      </c>
      <c r="L613" s="89" t="s">
        <v>24</v>
      </c>
    </row>
    <row r="614">
      <c r="A614" s="137"/>
      <c r="B614" s="290">
        <v>46014.0</v>
      </c>
      <c r="C614" s="137" t="s">
        <v>2102</v>
      </c>
      <c r="D614" s="140"/>
      <c r="E614" s="137" t="s">
        <v>2124</v>
      </c>
      <c r="F614" s="140"/>
      <c r="G614" s="140" t="s">
        <v>22</v>
      </c>
      <c r="H614" s="137" t="s">
        <v>81</v>
      </c>
      <c r="I614" s="137"/>
      <c r="J614" s="137" t="s">
        <v>206</v>
      </c>
      <c r="K614" s="291">
        <v>46014.0</v>
      </c>
      <c r="L614" s="140" t="s">
        <v>33</v>
      </c>
    </row>
    <row r="615">
      <c r="A615" s="80"/>
      <c r="B615" s="101">
        <v>46014.0</v>
      </c>
      <c r="C615" s="80" t="s">
        <v>2102</v>
      </c>
      <c r="D615" s="83"/>
      <c r="E615" s="80" t="s">
        <v>2125</v>
      </c>
      <c r="F615" s="83"/>
      <c r="G615" s="83" t="s">
        <v>289</v>
      </c>
      <c r="H615" s="80" t="s">
        <v>191</v>
      </c>
      <c r="I615" s="80"/>
      <c r="J615" s="80" t="s">
        <v>206</v>
      </c>
      <c r="K615" s="269">
        <v>46014.0</v>
      </c>
      <c r="L615" s="83" t="s">
        <v>33</v>
      </c>
    </row>
    <row r="616">
      <c r="A616" s="80"/>
      <c r="B616" s="101">
        <v>46014.0</v>
      </c>
      <c r="C616" s="80" t="s">
        <v>2102</v>
      </c>
      <c r="D616" s="83"/>
      <c r="E616" s="80" t="s">
        <v>2126</v>
      </c>
      <c r="F616" s="83"/>
      <c r="G616" s="83" t="s">
        <v>22</v>
      </c>
      <c r="H616" s="80" t="s">
        <v>191</v>
      </c>
      <c r="I616" s="80"/>
      <c r="J616" s="80" t="s">
        <v>206</v>
      </c>
      <c r="K616" s="269">
        <v>46014.0</v>
      </c>
      <c r="L616" s="83" t="s">
        <v>33</v>
      </c>
    </row>
    <row r="617">
      <c r="A617" s="86"/>
      <c r="B617" s="87">
        <v>46014.0</v>
      </c>
      <c r="C617" s="86" t="s">
        <v>321</v>
      </c>
      <c r="D617" s="89"/>
      <c r="E617" s="86" t="s">
        <v>863</v>
      </c>
      <c r="F617" s="89"/>
      <c r="G617" s="89" t="s">
        <v>22</v>
      </c>
      <c r="H617" s="86" t="s">
        <v>81</v>
      </c>
      <c r="I617" s="86"/>
      <c r="J617" s="86" t="s">
        <v>33</v>
      </c>
      <c r="K617" s="280">
        <v>46014.0</v>
      </c>
      <c r="L617" s="89" t="s">
        <v>24</v>
      </c>
    </row>
    <row r="618">
      <c r="A618" s="86"/>
      <c r="B618" s="87">
        <v>46014.0</v>
      </c>
      <c r="C618" s="86" t="s">
        <v>252</v>
      </c>
      <c r="D618" s="89"/>
      <c r="E618" s="86" t="s">
        <v>2127</v>
      </c>
      <c r="F618" s="89"/>
      <c r="G618" s="89" t="s">
        <v>22</v>
      </c>
      <c r="H618" s="86" t="s">
        <v>180</v>
      </c>
      <c r="I618" s="86"/>
      <c r="J618" s="86" t="s">
        <v>36</v>
      </c>
      <c r="K618" s="280">
        <v>46015.0</v>
      </c>
      <c r="L618" s="89" t="s">
        <v>24</v>
      </c>
    </row>
    <row r="619">
      <c r="A619" s="80"/>
      <c r="B619" s="101">
        <v>46014.0</v>
      </c>
      <c r="C619" s="80" t="s">
        <v>252</v>
      </c>
      <c r="D619" s="83"/>
      <c r="E619" s="80" t="s">
        <v>2128</v>
      </c>
      <c r="F619" s="83"/>
      <c r="G619" s="83" t="s">
        <v>22</v>
      </c>
      <c r="H619" s="80" t="s">
        <v>180</v>
      </c>
      <c r="I619" s="80"/>
      <c r="J619" s="80" t="s">
        <v>36</v>
      </c>
      <c r="K619" s="269">
        <v>46015.0</v>
      </c>
      <c r="L619" s="83" t="s">
        <v>33</v>
      </c>
    </row>
    <row r="620">
      <c r="A620" s="86"/>
      <c r="B620" s="87">
        <v>46014.0</v>
      </c>
      <c r="C620" s="86" t="s">
        <v>252</v>
      </c>
      <c r="D620" s="89"/>
      <c r="E620" s="86" t="s">
        <v>2129</v>
      </c>
      <c r="F620" s="89"/>
      <c r="G620" s="89" t="s">
        <v>22</v>
      </c>
      <c r="H620" s="86" t="s">
        <v>180</v>
      </c>
      <c r="I620" s="86"/>
      <c r="J620" s="86" t="s">
        <v>36</v>
      </c>
      <c r="K620" s="280">
        <v>46015.0</v>
      </c>
      <c r="L620" s="89" t="s">
        <v>24</v>
      </c>
    </row>
    <row r="621">
      <c r="A621" s="45"/>
      <c r="B621" s="76">
        <v>46014.0</v>
      </c>
      <c r="C621" s="33" t="s">
        <v>252</v>
      </c>
      <c r="D621" s="34"/>
      <c r="E621" s="33" t="s">
        <v>2130</v>
      </c>
      <c r="F621" s="34"/>
      <c r="G621" s="35" t="s">
        <v>22</v>
      </c>
      <c r="H621" s="33" t="s">
        <v>199</v>
      </c>
      <c r="I621" s="45"/>
      <c r="J621" s="33" t="s">
        <v>36</v>
      </c>
      <c r="K621" s="249">
        <v>46020.0</v>
      </c>
      <c r="L621" s="35" t="s">
        <v>95</v>
      </c>
    </row>
    <row r="622">
      <c r="A622" s="45"/>
      <c r="B622" s="76">
        <v>46014.0</v>
      </c>
      <c r="C622" s="33" t="s">
        <v>2131</v>
      </c>
      <c r="D622" s="34"/>
      <c r="E622" s="33" t="s">
        <v>2132</v>
      </c>
      <c r="F622" s="34"/>
      <c r="G622" s="35" t="s">
        <v>22</v>
      </c>
      <c r="H622" s="33" t="s">
        <v>50</v>
      </c>
      <c r="I622" s="33" t="s">
        <v>2133</v>
      </c>
      <c r="J622" s="33" t="s">
        <v>400</v>
      </c>
      <c r="K622" s="249">
        <v>46034.0</v>
      </c>
      <c r="L622" s="35" t="s">
        <v>95</v>
      </c>
    </row>
    <row r="623">
      <c r="A623" s="86"/>
      <c r="B623" s="87">
        <v>46015.0</v>
      </c>
      <c r="C623" s="86" t="s">
        <v>2134</v>
      </c>
      <c r="D623" s="89"/>
      <c r="E623" s="86" t="s">
        <v>1365</v>
      </c>
      <c r="F623" s="89"/>
      <c r="G623" s="89" t="s">
        <v>22</v>
      </c>
      <c r="H623" s="86" t="s">
        <v>50</v>
      </c>
      <c r="I623" s="86"/>
      <c r="J623" s="86" t="s">
        <v>24</v>
      </c>
      <c r="K623" s="280">
        <v>46015.0</v>
      </c>
      <c r="L623" s="89" t="s">
        <v>24</v>
      </c>
    </row>
    <row r="624">
      <c r="A624" s="80"/>
      <c r="B624" s="101">
        <v>46015.0</v>
      </c>
      <c r="C624" s="80" t="s">
        <v>2102</v>
      </c>
      <c r="D624" s="83"/>
      <c r="E624" s="80" t="s">
        <v>2135</v>
      </c>
      <c r="F624" s="83"/>
      <c r="G624" s="83" t="s">
        <v>22</v>
      </c>
      <c r="H624" s="80" t="s">
        <v>135</v>
      </c>
      <c r="I624" s="80"/>
      <c r="J624" s="80" t="s">
        <v>24</v>
      </c>
      <c r="K624" s="269">
        <v>46015.0</v>
      </c>
      <c r="L624" s="83" t="s">
        <v>33</v>
      </c>
    </row>
    <row r="625">
      <c r="A625" s="86"/>
      <c r="B625" s="87">
        <v>46015.0</v>
      </c>
      <c r="C625" s="86" t="s">
        <v>2102</v>
      </c>
      <c r="D625" s="89"/>
      <c r="E625" s="86" t="s">
        <v>2136</v>
      </c>
      <c r="F625" s="89"/>
      <c r="G625" s="89" t="s">
        <v>22</v>
      </c>
      <c r="H625" s="86" t="s">
        <v>135</v>
      </c>
      <c r="I625" s="86"/>
      <c r="J625" s="86" t="s">
        <v>24</v>
      </c>
      <c r="K625" s="280">
        <v>46015.0</v>
      </c>
      <c r="L625" s="89" t="s">
        <v>24</v>
      </c>
    </row>
    <row r="626">
      <c r="A626" s="86"/>
      <c r="B626" s="87">
        <v>46015.0</v>
      </c>
      <c r="C626" s="86" t="s">
        <v>2102</v>
      </c>
      <c r="D626" s="89"/>
      <c r="E626" s="86" t="s">
        <v>2137</v>
      </c>
      <c r="F626" s="89"/>
      <c r="G626" s="89" t="s">
        <v>22</v>
      </c>
      <c r="H626" s="86" t="s">
        <v>135</v>
      </c>
      <c r="I626" s="86"/>
      <c r="J626" s="86" t="s">
        <v>24</v>
      </c>
      <c r="K626" s="280">
        <v>46015.0</v>
      </c>
      <c r="L626" s="89" t="s">
        <v>24</v>
      </c>
    </row>
    <row r="627">
      <c r="A627" s="86"/>
      <c r="B627" s="87">
        <v>46015.0</v>
      </c>
      <c r="C627" s="86" t="s">
        <v>2138</v>
      </c>
      <c r="D627" s="89"/>
      <c r="E627" s="86" t="s">
        <v>2139</v>
      </c>
      <c r="F627" s="89"/>
      <c r="G627" s="89" t="s">
        <v>22</v>
      </c>
      <c r="H627" s="86" t="s">
        <v>135</v>
      </c>
      <c r="I627" s="86"/>
      <c r="J627" s="86" t="s">
        <v>24</v>
      </c>
      <c r="K627" s="292">
        <v>46015.0</v>
      </c>
      <c r="L627" s="86" t="s">
        <v>24</v>
      </c>
    </row>
    <row r="628">
      <c r="A628" s="86"/>
      <c r="B628" s="279">
        <v>46015.0</v>
      </c>
      <c r="C628" s="86" t="s">
        <v>2138</v>
      </c>
      <c r="D628" s="89"/>
      <c r="E628" s="86" t="s">
        <v>2140</v>
      </c>
      <c r="F628" s="89"/>
      <c r="G628" s="89" t="s">
        <v>22</v>
      </c>
      <c r="H628" s="86" t="s">
        <v>68</v>
      </c>
      <c r="I628" s="86"/>
      <c r="J628" s="86" t="s">
        <v>24</v>
      </c>
      <c r="K628" s="292">
        <v>46015.0</v>
      </c>
      <c r="L628" s="86" t="s">
        <v>24</v>
      </c>
    </row>
    <row r="629">
      <c r="A629" s="137"/>
      <c r="B629" s="293">
        <v>46015.0</v>
      </c>
      <c r="C629" s="137" t="s">
        <v>2138</v>
      </c>
      <c r="D629" s="140"/>
      <c r="E629" s="137" t="s">
        <v>2141</v>
      </c>
      <c r="F629" s="140"/>
      <c r="G629" s="140" t="s">
        <v>22</v>
      </c>
      <c r="H629" s="137" t="s">
        <v>319</v>
      </c>
      <c r="I629" s="137"/>
      <c r="J629" s="137" t="s">
        <v>24</v>
      </c>
      <c r="K629" s="294">
        <v>46015.0</v>
      </c>
      <c r="L629" s="137" t="s">
        <v>33</v>
      </c>
    </row>
    <row r="630">
      <c r="A630" s="58"/>
      <c r="B630" s="251">
        <v>46017.0</v>
      </c>
      <c r="C630" s="60" t="s">
        <v>83</v>
      </c>
      <c r="D630" s="61"/>
      <c r="E630" s="60" t="s">
        <v>2142</v>
      </c>
      <c r="F630" s="61"/>
      <c r="G630" s="62" t="s">
        <v>85</v>
      </c>
      <c r="H630" s="60" t="s">
        <v>81</v>
      </c>
      <c r="I630" s="60" t="s">
        <v>2143</v>
      </c>
      <c r="J630" s="60" t="s">
        <v>48</v>
      </c>
      <c r="K630" s="263">
        <v>46022.0</v>
      </c>
      <c r="L630" s="60" t="s">
        <v>24</v>
      </c>
    </row>
    <row r="631">
      <c r="A631" s="45"/>
      <c r="B631" s="245">
        <v>46017.0</v>
      </c>
      <c r="C631" s="33" t="s">
        <v>243</v>
      </c>
      <c r="D631" s="34"/>
      <c r="E631" s="33" t="s">
        <v>2144</v>
      </c>
      <c r="F631" s="35" t="s">
        <v>2145</v>
      </c>
      <c r="G631" s="35" t="s">
        <v>22</v>
      </c>
      <c r="H631" s="33" t="s">
        <v>88</v>
      </c>
      <c r="I631" s="33" t="s">
        <v>469</v>
      </c>
      <c r="J631" s="33" t="s">
        <v>24</v>
      </c>
      <c r="K631" s="70">
        <v>46018.0</v>
      </c>
      <c r="L631" s="33" t="s">
        <v>130</v>
      </c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</row>
    <row r="632">
      <c r="A632" s="58"/>
      <c r="B632" s="251">
        <v>46017.0</v>
      </c>
      <c r="C632" s="60" t="s">
        <v>243</v>
      </c>
      <c r="D632" s="61"/>
      <c r="E632" s="60" t="s">
        <v>2146</v>
      </c>
      <c r="F632" s="61"/>
      <c r="G632" s="62" t="s">
        <v>22</v>
      </c>
      <c r="H632" s="60" t="s">
        <v>88</v>
      </c>
      <c r="I632" s="60" t="s">
        <v>2147</v>
      </c>
      <c r="J632" s="60" t="s">
        <v>25</v>
      </c>
      <c r="K632" s="263">
        <v>46387.0</v>
      </c>
      <c r="L632" s="60" t="s">
        <v>24</v>
      </c>
    </row>
    <row r="633">
      <c r="A633" s="45"/>
      <c r="B633" s="245">
        <v>46018.0</v>
      </c>
      <c r="C633" s="33" t="s">
        <v>206</v>
      </c>
      <c r="D633" s="34"/>
      <c r="E633" s="33" t="s">
        <v>2148</v>
      </c>
      <c r="F633" s="34"/>
      <c r="G633" s="35" t="s">
        <v>22</v>
      </c>
      <c r="H633" s="33" t="s">
        <v>31</v>
      </c>
      <c r="I633" s="33" t="s">
        <v>2149</v>
      </c>
      <c r="J633" s="33" t="s">
        <v>130</v>
      </c>
      <c r="K633" s="56">
        <v>46028.0</v>
      </c>
      <c r="L633" s="33" t="s">
        <v>33</v>
      </c>
    </row>
    <row r="634">
      <c r="A634" s="45"/>
      <c r="B634" s="245">
        <v>46018.0</v>
      </c>
      <c r="C634" s="33" t="s">
        <v>206</v>
      </c>
      <c r="D634" s="34"/>
      <c r="E634" s="33" t="s">
        <v>335</v>
      </c>
      <c r="F634" s="34"/>
      <c r="G634" s="35" t="s">
        <v>22</v>
      </c>
      <c r="H634" s="33" t="s">
        <v>215</v>
      </c>
      <c r="I634" s="33" t="s">
        <v>2150</v>
      </c>
      <c r="J634" s="33" t="s">
        <v>130</v>
      </c>
      <c r="K634" s="70">
        <v>46018.0</v>
      </c>
      <c r="L634" s="33" t="s">
        <v>130</v>
      </c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</row>
    <row r="635">
      <c r="A635" s="45"/>
      <c r="B635" s="245">
        <v>46018.0</v>
      </c>
      <c r="C635" s="33" t="s">
        <v>206</v>
      </c>
      <c r="D635" s="34"/>
      <c r="E635" s="33" t="s">
        <v>2151</v>
      </c>
      <c r="F635" s="34"/>
      <c r="G635" s="35" t="s">
        <v>22</v>
      </c>
      <c r="H635" s="33" t="s">
        <v>31</v>
      </c>
      <c r="I635" s="33" t="s">
        <v>798</v>
      </c>
      <c r="J635" s="33" t="s">
        <v>130</v>
      </c>
      <c r="K635" s="70">
        <v>46018.0</v>
      </c>
      <c r="L635" s="33" t="s">
        <v>130</v>
      </c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</row>
    <row r="636">
      <c r="A636" s="45"/>
      <c r="B636" s="245">
        <v>46018.0</v>
      </c>
      <c r="C636" s="33" t="s">
        <v>206</v>
      </c>
      <c r="D636" s="34"/>
      <c r="E636" s="33" t="s">
        <v>2152</v>
      </c>
      <c r="F636" s="35" t="s">
        <v>2153</v>
      </c>
      <c r="G636" s="35" t="s">
        <v>22</v>
      </c>
      <c r="H636" s="33" t="s">
        <v>31</v>
      </c>
      <c r="I636" s="33" t="s">
        <v>2154</v>
      </c>
      <c r="J636" s="33" t="s">
        <v>130</v>
      </c>
      <c r="K636" s="57">
        <v>46020.0</v>
      </c>
      <c r="L636" s="33" t="s">
        <v>95</v>
      </c>
    </row>
    <row r="637">
      <c r="A637" s="45"/>
      <c r="B637" s="245">
        <v>46018.0</v>
      </c>
      <c r="C637" s="33" t="s">
        <v>206</v>
      </c>
      <c r="D637" s="34"/>
      <c r="E637" s="33" t="s">
        <v>863</v>
      </c>
      <c r="F637" s="34"/>
      <c r="G637" s="35" t="s">
        <v>22</v>
      </c>
      <c r="H637" s="33" t="s">
        <v>215</v>
      </c>
      <c r="I637" s="33" t="s">
        <v>196</v>
      </c>
      <c r="J637" s="33" t="s">
        <v>130</v>
      </c>
      <c r="K637" s="106">
        <v>46024.0</v>
      </c>
      <c r="L637" s="33" t="s">
        <v>25</v>
      </c>
    </row>
    <row r="638">
      <c r="A638" s="45"/>
      <c r="B638" s="76">
        <v>46020.0</v>
      </c>
      <c r="C638" s="33" t="s">
        <v>2155</v>
      </c>
      <c r="D638" s="34"/>
      <c r="E638" s="33" t="s">
        <v>44</v>
      </c>
      <c r="F638" s="34"/>
      <c r="G638" s="35" t="s">
        <v>22</v>
      </c>
      <c r="H638" s="33" t="s">
        <v>156</v>
      </c>
      <c r="I638" s="33" t="s">
        <v>2156</v>
      </c>
      <c r="J638" s="33" t="s">
        <v>95</v>
      </c>
      <c r="K638" s="57">
        <v>46020.0</v>
      </c>
      <c r="L638" s="33" t="s">
        <v>95</v>
      </c>
    </row>
    <row r="639">
      <c r="A639" s="45"/>
      <c r="B639" s="76">
        <v>46020.0</v>
      </c>
      <c r="C639" s="33" t="s">
        <v>206</v>
      </c>
      <c r="D639" s="34"/>
      <c r="E639" s="33" t="s">
        <v>1016</v>
      </c>
      <c r="F639" s="35" t="s">
        <v>2157</v>
      </c>
      <c r="G639" s="35" t="s">
        <v>22</v>
      </c>
      <c r="H639" s="33" t="s">
        <v>156</v>
      </c>
      <c r="I639" s="33" t="s">
        <v>69</v>
      </c>
      <c r="J639" s="33" t="s">
        <v>95</v>
      </c>
      <c r="K639" s="57">
        <v>46020.0</v>
      </c>
      <c r="L639" s="33" t="s">
        <v>95</v>
      </c>
    </row>
    <row r="640">
      <c r="A640" s="45"/>
      <c r="B640" s="76">
        <v>46020.0</v>
      </c>
      <c r="C640" s="33" t="s">
        <v>206</v>
      </c>
      <c r="D640" s="34"/>
      <c r="E640" s="33" t="s">
        <v>2158</v>
      </c>
      <c r="F640" s="34"/>
      <c r="G640" s="35" t="s">
        <v>22</v>
      </c>
      <c r="H640" s="33" t="s">
        <v>73</v>
      </c>
      <c r="I640" s="33" t="s">
        <v>69</v>
      </c>
      <c r="J640" s="33" t="s">
        <v>95</v>
      </c>
      <c r="K640" s="57">
        <v>46020.0</v>
      </c>
      <c r="L640" s="33" t="s">
        <v>95</v>
      </c>
    </row>
    <row r="641">
      <c r="A641" s="45"/>
      <c r="B641" s="76">
        <v>46020.0</v>
      </c>
      <c r="C641" s="33" t="s">
        <v>2091</v>
      </c>
      <c r="D641" s="34"/>
      <c r="E641" s="33" t="s">
        <v>2159</v>
      </c>
      <c r="F641" s="34"/>
      <c r="G641" s="35" t="s">
        <v>22</v>
      </c>
      <c r="H641" s="33" t="s">
        <v>73</v>
      </c>
      <c r="I641" s="33" t="s">
        <v>2160</v>
      </c>
      <c r="J641" s="33" t="s">
        <v>95</v>
      </c>
      <c r="K641" s="57">
        <v>46020.0</v>
      </c>
      <c r="L641" s="33" t="s">
        <v>95</v>
      </c>
    </row>
    <row r="642">
      <c r="A642" s="45"/>
      <c r="B642" s="76">
        <v>46020.0</v>
      </c>
      <c r="C642" s="33" t="s">
        <v>2091</v>
      </c>
      <c r="D642" s="34"/>
      <c r="E642" s="33" t="s">
        <v>2161</v>
      </c>
      <c r="F642" s="34"/>
      <c r="G642" s="35" t="s">
        <v>22</v>
      </c>
      <c r="H642" s="33" t="s">
        <v>73</v>
      </c>
      <c r="I642" s="33" t="s">
        <v>2162</v>
      </c>
      <c r="J642" s="33" t="s">
        <v>95</v>
      </c>
      <c r="K642" s="57">
        <v>46021.0</v>
      </c>
      <c r="L642" s="33" t="s">
        <v>33</v>
      </c>
    </row>
    <row r="643">
      <c r="A643" s="45"/>
      <c r="B643" s="76">
        <v>46020.0</v>
      </c>
      <c r="C643" s="33" t="s">
        <v>2163</v>
      </c>
      <c r="D643" s="34"/>
      <c r="E643" s="33" t="s">
        <v>580</v>
      </c>
      <c r="F643" s="35" t="s">
        <v>1651</v>
      </c>
      <c r="G643" s="35" t="s">
        <v>22</v>
      </c>
      <c r="H643" s="33" t="s">
        <v>53</v>
      </c>
      <c r="I643" s="33" t="s">
        <v>2164</v>
      </c>
      <c r="J643" s="33" t="s">
        <v>95</v>
      </c>
      <c r="K643" s="57">
        <v>46021.0</v>
      </c>
      <c r="L643" s="33" t="s">
        <v>33</v>
      </c>
    </row>
    <row r="644">
      <c r="A644" s="45"/>
      <c r="B644" s="76">
        <v>46020.0</v>
      </c>
      <c r="C644" s="33" t="s">
        <v>206</v>
      </c>
      <c r="D644" s="34"/>
      <c r="E644" s="33" t="s">
        <v>65</v>
      </c>
      <c r="F644" s="34"/>
      <c r="G644" s="35" t="s">
        <v>22</v>
      </c>
      <c r="H644" s="33" t="s">
        <v>73</v>
      </c>
      <c r="I644" s="33" t="s">
        <v>69</v>
      </c>
      <c r="J644" s="33" t="s">
        <v>2165</v>
      </c>
      <c r="K644" s="45"/>
      <c r="L644" s="45"/>
    </row>
    <row r="645">
      <c r="A645" s="45"/>
      <c r="B645" s="76">
        <v>46020.0</v>
      </c>
      <c r="C645" s="33" t="s">
        <v>476</v>
      </c>
      <c r="D645" s="34"/>
      <c r="E645" s="33" t="s">
        <v>44</v>
      </c>
      <c r="F645" s="34"/>
      <c r="G645" s="35" t="s">
        <v>22</v>
      </c>
      <c r="H645" s="33" t="s">
        <v>109</v>
      </c>
      <c r="I645" s="33" t="s">
        <v>69</v>
      </c>
      <c r="J645" s="33" t="s">
        <v>95</v>
      </c>
      <c r="K645" s="57">
        <v>46021.0</v>
      </c>
      <c r="L645" s="33" t="s">
        <v>33</v>
      </c>
    </row>
    <row r="646">
      <c r="A646" s="58"/>
      <c r="B646" s="77">
        <v>46021.0</v>
      </c>
      <c r="C646" s="60" t="s">
        <v>65</v>
      </c>
      <c r="D646" s="61"/>
      <c r="E646" s="60" t="s">
        <v>2166</v>
      </c>
      <c r="F646" s="61"/>
      <c r="G646" s="62" t="s">
        <v>22</v>
      </c>
      <c r="H646" s="60" t="s">
        <v>73</v>
      </c>
      <c r="I646" s="60" t="s">
        <v>482</v>
      </c>
      <c r="J646" s="60" t="s">
        <v>24</v>
      </c>
      <c r="K646" s="79">
        <v>46022.0</v>
      </c>
      <c r="L646" s="60" t="s">
        <v>24</v>
      </c>
    </row>
    <row r="647">
      <c r="A647" s="58"/>
      <c r="B647" s="77">
        <v>46021.0</v>
      </c>
      <c r="C647" s="60" t="s">
        <v>2167</v>
      </c>
      <c r="D647" s="61"/>
      <c r="E647" s="60" t="s">
        <v>44</v>
      </c>
      <c r="F647" s="61"/>
      <c r="G647" s="62" t="s">
        <v>22</v>
      </c>
      <c r="H647" s="58"/>
      <c r="I647" s="60" t="s">
        <v>2143</v>
      </c>
      <c r="J647" s="60" t="s">
        <v>24</v>
      </c>
      <c r="K647" s="79">
        <v>46021.0</v>
      </c>
      <c r="L647" s="60" t="s">
        <v>24</v>
      </c>
    </row>
    <row r="648">
      <c r="A648" s="45"/>
      <c r="B648" s="76">
        <v>46021.0</v>
      </c>
      <c r="C648" s="33" t="s">
        <v>185</v>
      </c>
      <c r="D648" s="34"/>
      <c r="E648" s="33" t="s">
        <v>2168</v>
      </c>
      <c r="F648" s="34"/>
      <c r="G648" s="35" t="s">
        <v>55</v>
      </c>
      <c r="H648" s="33" t="s">
        <v>68</v>
      </c>
      <c r="I648" s="33" t="s">
        <v>286</v>
      </c>
      <c r="J648" s="33" t="s">
        <v>33</v>
      </c>
      <c r="K648" s="56">
        <v>46028.0</v>
      </c>
      <c r="L648" s="33" t="s">
        <v>33</v>
      </c>
    </row>
    <row r="649">
      <c r="A649" s="45"/>
      <c r="B649" s="76">
        <v>46021.0</v>
      </c>
      <c r="C649" s="33" t="s">
        <v>65</v>
      </c>
      <c r="D649" s="34"/>
      <c r="E649" s="33" t="s">
        <v>1102</v>
      </c>
      <c r="F649" s="34"/>
      <c r="G649" s="35" t="s">
        <v>22</v>
      </c>
      <c r="H649" s="33" t="s">
        <v>73</v>
      </c>
      <c r="I649" s="33" t="s">
        <v>482</v>
      </c>
      <c r="J649" s="33" t="s">
        <v>24</v>
      </c>
      <c r="K649" s="56">
        <v>46028.0</v>
      </c>
      <c r="L649" s="33" t="s">
        <v>33</v>
      </c>
    </row>
    <row r="650">
      <c r="B650" s="184"/>
      <c r="C650" s="1"/>
      <c r="D650" s="25"/>
      <c r="E650" s="1"/>
      <c r="F650" s="7"/>
      <c r="G650" s="7"/>
      <c r="H650" s="1"/>
      <c r="I650" s="1"/>
      <c r="J650" s="1"/>
    </row>
    <row r="651">
      <c r="B651" s="184"/>
      <c r="C651" s="1"/>
      <c r="D651" s="25"/>
      <c r="E651" s="1"/>
      <c r="F651" s="25"/>
      <c r="G651" s="7"/>
      <c r="H651" s="1"/>
      <c r="I651" s="1"/>
      <c r="J651" s="1"/>
      <c r="K651" s="14"/>
      <c r="L651" s="1"/>
    </row>
    <row r="652">
      <c r="B652" s="184"/>
      <c r="C652" s="1"/>
      <c r="D652" s="25"/>
      <c r="E652" s="1"/>
      <c r="F652" s="25"/>
      <c r="G652" s="7"/>
      <c r="H652" s="1"/>
      <c r="I652" s="1"/>
      <c r="J652" s="1"/>
      <c r="K652" s="200"/>
      <c r="L652" s="1"/>
    </row>
    <row r="653">
      <c r="B653" s="184"/>
      <c r="C653" s="1"/>
      <c r="D653" s="25"/>
      <c r="E653" s="1"/>
      <c r="F653" s="7"/>
      <c r="G653" s="7"/>
      <c r="H653" s="1"/>
      <c r="I653" s="1"/>
      <c r="J653" s="1"/>
      <c r="K653" s="295"/>
      <c r="L653" s="1"/>
    </row>
    <row r="654">
      <c r="B654" s="184"/>
      <c r="C654" s="1"/>
      <c r="D654" s="25"/>
      <c r="E654" s="1"/>
      <c r="F654" s="25"/>
      <c r="G654" s="7"/>
      <c r="H654" s="1"/>
      <c r="I654" s="1"/>
      <c r="J654" s="1"/>
      <c r="K654" s="295"/>
      <c r="L654" s="1"/>
    </row>
    <row r="655">
      <c r="B655" s="184"/>
      <c r="C655" s="1"/>
      <c r="D655" s="25"/>
      <c r="E655" s="1"/>
      <c r="F655" s="25"/>
      <c r="G655" s="7"/>
      <c r="H655" s="1"/>
      <c r="I655" s="1"/>
      <c r="J655" s="1"/>
      <c r="K655" s="295"/>
      <c r="L655" s="1"/>
    </row>
    <row r="656">
      <c r="B656" s="184"/>
      <c r="C656" s="1"/>
      <c r="D656" s="25"/>
      <c r="E656" s="1"/>
      <c r="F656" s="25"/>
      <c r="G656" s="7"/>
      <c r="H656" s="1"/>
      <c r="I656" s="1"/>
      <c r="J656" s="1"/>
      <c r="K656" s="200"/>
      <c r="L656" s="1"/>
    </row>
    <row r="657">
      <c r="B657" s="184"/>
      <c r="C657" s="1"/>
      <c r="D657" s="25"/>
      <c r="E657" s="1"/>
      <c r="F657" s="25"/>
      <c r="G657" s="7"/>
      <c r="I657" s="1"/>
      <c r="J657" s="1"/>
      <c r="K657" s="200"/>
      <c r="L657" s="1"/>
    </row>
    <row r="658">
      <c r="B658" s="184"/>
      <c r="C658" s="1"/>
      <c r="D658" s="25"/>
      <c r="E658" s="1"/>
      <c r="F658" s="7"/>
      <c r="G658" s="7"/>
      <c r="H658" s="1"/>
      <c r="I658" s="1"/>
      <c r="J658" s="1"/>
    </row>
    <row r="659">
      <c r="B659" s="184"/>
      <c r="C659" s="1"/>
      <c r="D659" s="25"/>
      <c r="E659" s="1"/>
      <c r="F659" s="25"/>
      <c r="G659" s="7"/>
      <c r="H659" s="1"/>
      <c r="I659" s="1"/>
      <c r="J659" s="1"/>
      <c r="K659" s="200"/>
      <c r="L659" s="1"/>
    </row>
    <row r="660">
      <c r="B660" s="29"/>
      <c r="C660" s="1"/>
      <c r="D660" s="25"/>
      <c r="E660" s="1"/>
      <c r="F660" s="25"/>
      <c r="G660" s="7"/>
      <c r="H660" s="1"/>
      <c r="I660" s="1"/>
      <c r="J660" s="1"/>
      <c r="K660" s="200"/>
      <c r="L660" s="1"/>
    </row>
    <row r="661">
      <c r="B661" s="29"/>
      <c r="C661" s="1"/>
      <c r="D661" s="25"/>
      <c r="E661" s="1"/>
      <c r="F661" s="25"/>
      <c r="G661" s="7"/>
      <c r="H661" s="1"/>
      <c r="I661" s="1"/>
      <c r="J661" s="1"/>
      <c r="K661" s="200"/>
      <c r="L661" s="1"/>
    </row>
    <row r="662">
      <c r="B662" s="49"/>
      <c r="C662" s="1"/>
      <c r="D662" s="25"/>
      <c r="E662" s="1"/>
      <c r="F662" s="7"/>
      <c r="G662" s="7"/>
      <c r="H662" s="1"/>
      <c r="I662" s="1"/>
      <c r="J662" s="1"/>
      <c r="K662" s="200"/>
      <c r="L662" s="1"/>
    </row>
    <row r="663">
      <c r="B663" s="29"/>
      <c r="C663" s="1"/>
      <c r="D663" s="25"/>
      <c r="E663" s="1"/>
      <c r="F663" s="7"/>
      <c r="G663" s="7"/>
      <c r="H663" s="1"/>
      <c r="I663" s="1"/>
      <c r="J663" s="1"/>
      <c r="K663" s="198"/>
      <c r="L663" s="1"/>
    </row>
    <row r="664">
      <c r="B664" s="29"/>
      <c r="C664" s="1"/>
      <c r="D664" s="25"/>
      <c r="E664" s="1"/>
      <c r="F664" s="7"/>
      <c r="G664" s="7"/>
      <c r="H664" s="1"/>
      <c r="I664" s="1"/>
      <c r="J664" s="1"/>
      <c r="K664" s="200"/>
      <c r="L664" s="1"/>
    </row>
    <row r="665">
      <c r="B665" s="29"/>
      <c r="C665" s="1"/>
      <c r="D665" s="25"/>
      <c r="E665" s="1"/>
      <c r="F665" s="7"/>
      <c r="G665" s="7"/>
      <c r="H665" s="1"/>
      <c r="I665" s="1"/>
      <c r="J665" s="1"/>
      <c r="K665" s="200"/>
      <c r="L665" s="1"/>
    </row>
    <row r="666">
      <c r="B666" s="29"/>
      <c r="C666" s="1"/>
      <c r="D666" s="25"/>
      <c r="E666" s="1"/>
      <c r="F666" s="7"/>
      <c r="G666" s="7"/>
      <c r="H666" s="1"/>
      <c r="I666" s="1"/>
      <c r="J666" s="1"/>
    </row>
    <row r="667">
      <c r="B667" s="29"/>
      <c r="C667" s="1"/>
      <c r="D667" s="25"/>
      <c r="E667" s="1"/>
      <c r="F667" s="25"/>
      <c r="G667" s="7"/>
      <c r="H667" s="1"/>
      <c r="I667" s="1"/>
      <c r="J667" s="1"/>
      <c r="K667" s="200"/>
      <c r="L667" s="1"/>
    </row>
    <row r="668">
      <c r="B668" s="29"/>
      <c r="C668" s="1"/>
      <c r="D668" s="25"/>
      <c r="E668" s="1"/>
      <c r="F668" s="25"/>
      <c r="G668" s="7"/>
      <c r="H668" s="1"/>
      <c r="I668" s="1"/>
      <c r="J668" s="1"/>
      <c r="K668" s="200"/>
      <c r="L668" s="1"/>
    </row>
    <row r="669">
      <c r="B669" s="29"/>
      <c r="C669" s="1"/>
      <c r="D669" s="25"/>
      <c r="E669" s="1"/>
      <c r="F669" s="25"/>
      <c r="G669" s="7"/>
      <c r="H669" s="1"/>
      <c r="I669" s="1"/>
      <c r="J669" s="1"/>
      <c r="K669" s="14"/>
      <c r="L669" s="1"/>
    </row>
    <row r="670">
      <c r="B670" s="29"/>
      <c r="C670" s="1"/>
      <c r="D670" s="25"/>
      <c r="E670" s="1"/>
      <c r="F670" s="25"/>
      <c r="G670" s="7"/>
      <c r="H670" s="1"/>
      <c r="I670" s="1"/>
      <c r="J670" s="1"/>
      <c r="K670" s="14"/>
      <c r="L670" s="1"/>
    </row>
    <row r="671">
      <c r="B671" s="29"/>
      <c r="C671" s="1"/>
      <c r="D671" s="25"/>
      <c r="E671" s="1"/>
      <c r="F671" s="7"/>
      <c r="G671" s="7"/>
      <c r="H671" s="1"/>
      <c r="I671" s="1"/>
      <c r="J671" s="1"/>
      <c r="K671" s="200"/>
      <c r="L671" s="1"/>
    </row>
    <row r="672">
      <c r="B672" s="29"/>
      <c r="C672" s="1"/>
      <c r="D672" s="25"/>
      <c r="E672" s="1"/>
      <c r="F672" s="7"/>
      <c r="G672" s="7"/>
      <c r="H672" s="1"/>
      <c r="I672" s="1"/>
      <c r="J672" s="1"/>
      <c r="K672" s="200"/>
      <c r="L672" s="1"/>
    </row>
    <row r="673">
      <c r="B673" s="29"/>
      <c r="C673" s="1"/>
      <c r="D673" s="25"/>
      <c r="E673" s="1"/>
      <c r="F673" s="7"/>
      <c r="G673" s="7"/>
      <c r="H673" s="1"/>
      <c r="I673" s="1"/>
      <c r="J673" s="1"/>
      <c r="K673" s="14"/>
      <c r="L673" s="1"/>
    </row>
    <row r="674">
      <c r="B674" s="27"/>
      <c r="C674" s="1"/>
      <c r="D674" s="25"/>
      <c r="E674" s="1"/>
      <c r="F674" s="25"/>
      <c r="G674" s="7"/>
      <c r="H674" s="1"/>
      <c r="I674" s="1"/>
      <c r="J674" s="1"/>
      <c r="K674" s="14"/>
      <c r="L674" s="1"/>
    </row>
    <row r="675">
      <c r="B675" s="27"/>
      <c r="C675" s="1"/>
      <c r="D675" s="25"/>
      <c r="E675" s="1"/>
      <c r="F675" s="25"/>
      <c r="G675" s="7"/>
      <c r="H675" s="1"/>
      <c r="I675" s="1"/>
      <c r="J675" s="1"/>
      <c r="K675" s="46"/>
      <c r="L675" s="1"/>
    </row>
    <row r="676">
      <c r="B676" s="27"/>
      <c r="C676" s="1"/>
      <c r="D676" s="25"/>
      <c r="E676" s="1"/>
      <c r="F676" s="25"/>
      <c r="G676" s="7"/>
      <c r="H676" s="1"/>
      <c r="I676" s="1"/>
      <c r="J676" s="1"/>
      <c r="K676" s="46"/>
      <c r="L676" s="1"/>
    </row>
    <row r="677">
      <c r="B677" s="27"/>
      <c r="C677" s="1"/>
      <c r="D677" s="25"/>
      <c r="E677" s="1"/>
      <c r="F677" s="7"/>
      <c r="G677" s="7"/>
      <c r="H677" s="1"/>
      <c r="I677" s="1"/>
      <c r="J677" s="1"/>
      <c r="K677" s="14"/>
      <c r="L677" s="1"/>
    </row>
    <row r="678">
      <c r="B678" s="27"/>
      <c r="C678" s="1"/>
      <c r="D678" s="25"/>
      <c r="E678" s="1"/>
      <c r="F678" s="7"/>
      <c r="G678" s="7"/>
      <c r="H678" s="1"/>
      <c r="I678" s="1"/>
      <c r="J678" s="1"/>
      <c r="K678" s="14"/>
      <c r="L678" s="1"/>
    </row>
    <row r="679">
      <c r="B679" s="27"/>
      <c r="C679" s="1"/>
      <c r="D679" s="25"/>
      <c r="E679" s="1"/>
      <c r="F679" s="7"/>
      <c r="G679" s="7"/>
      <c r="K679" s="14"/>
      <c r="L679" s="1"/>
    </row>
    <row r="680">
      <c r="B680" s="27"/>
      <c r="C680" s="1"/>
      <c r="D680" s="25"/>
      <c r="E680" s="1"/>
      <c r="F680" s="7"/>
      <c r="G680" s="7"/>
      <c r="H680" s="1"/>
      <c r="I680" s="1"/>
      <c r="J680" s="1"/>
      <c r="K680" s="14"/>
      <c r="L680" s="1"/>
    </row>
    <row r="681">
      <c r="B681" s="27"/>
      <c r="C681" s="1"/>
      <c r="D681" s="25"/>
      <c r="E681" s="1"/>
      <c r="F681" s="7"/>
      <c r="G681" s="7"/>
      <c r="H681" s="1"/>
      <c r="I681" s="1"/>
      <c r="J681" s="1"/>
      <c r="K681" s="200"/>
      <c r="L681" s="1"/>
    </row>
    <row r="682">
      <c r="B682" s="27"/>
      <c r="C682" s="1"/>
      <c r="D682" s="25"/>
      <c r="E682" s="1"/>
      <c r="F682" s="25"/>
      <c r="G682" s="7"/>
      <c r="H682" s="1"/>
      <c r="I682" s="1"/>
      <c r="J682" s="1"/>
      <c r="K682" s="200"/>
      <c r="L682" s="1"/>
    </row>
    <row r="683">
      <c r="B683" s="29"/>
      <c r="C683" s="1"/>
      <c r="D683" s="7"/>
      <c r="E683" s="1"/>
      <c r="F683" s="25"/>
      <c r="G683" s="7"/>
      <c r="H683" s="1"/>
      <c r="I683" s="1"/>
      <c r="J683" s="1"/>
      <c r="K683" s="200"/>
      <c r="L683" s="1"/>
    </row>
    <row r="684">
      <c r="B684" s="29"/>
      <c r="C684" s="1"/>
      <c r="D684" s="25"/>
      <c r="E684" s="1"/>
      <c r="F684" s="25"/>
      <c r="G684" s="7"/>
      <c r="H684" s="1"/>
      <c r="I684" s="1"/>
      <c r="J684" s="1"/>
      <c r="K684" s="200"/>
      <c r="L684" s="1"/>
    </row>
    <row r="685">
      <c r="B685" s="29"/>
      <c r="C685" s="1"/>
      <c r="D685" s="25"/>
      <c r="E685" s="1"/>
      <c r="F685" s="25"/>
      <c r="G685" s="7"/>
      <c r="H685" s="1"/>
      <c r="I685" s="1"/>
      <c r="J685" s="1"/>
      <c r="K685" s="14"/>
      <c r="L685" s="1"/>
    </row>
    <row r="686">
      <c r="B686" s="27"/>
      <c r="C686" s="1"/>
      <c r="D686" s="25"/>
      <c r="E686" s="1"/>
      <c r="F686" s="25"/>
      <c r="G686" s="7"/>
      <c r="H686" s="1"/>
      <c r="I686" s="1"/>
      <c r="J686" s="1"/>
      <c r="K686" s="14"/>
      <c r="L686" s="1"/>
    </row>
    <row r="687">
      <c r="B687" s="27"/>
      <c r="C687" s="1"/>
      <c r="D687" s="25"/>
      <c r="E687" s="1"/>
      <c r="F687" s="25"/>
      <c r="G687" s="7"/>
      <c r="H687" s="1"/>
      <c r="I687" s="1"/>
      <c r="J687" s="1"/>
      <c r="K687" s="14"/>
      <c r="L687" s="1"/>
    </row>
    <row r="688">
      <c r="B688" s="27"/>
      <c r="C688" s="1"/>
      <c r="D688" s="25"/>
      <c r="E688" s="1"/>
      <c r="F688" s="25"/>
      <c r="G688" s="7"/>
      <c r="H688" s="1"/>
      <c r="I688" s="1"/>
      <c r="J688" s="1"/>
      <c r="K688" s="14"/>
      <c r="L688" s="1"/>
    </row>
    <row r="689">
      <c r="B689" s="27"/>
      <c r="C689" s="1"/>
      <c r="D689" s="25"/>
      <c r="E689" s="1"/>
      <c r="F689" s="25"/>
      <c r="G689" s="7"/>
      <c r="H689" s="1"/>
      <c r="I689" s="1"/>
      <c r="J689" s="1"/>
      <c r="K689" s="14"/>
      <c r="L689" s="1"/>
    </row>
    <row r="690">
      <c r="B690" s="27"/>
      <c r="C690" s="1"/>
      <c r="D690" s="25"/>
      <c r="E690" s="1"/>
      <c r="F690" s="25"/>
      <c r="G690" s="7"/>
      <c r="H690" s="1"/>
      <c r="I690" s="1"/>
      <c r="J690" s="1"/>
      <c r="K690" s="14"/>
      <c r="L690" s="1"/>
    </row>
    <row r="691">
      <c r="B691" s="27"/>
      <c r="C691" s="1"/>
      <c r="D691" s="25"/>
      <c r="E691" s="1"/>
      <c r="F691" s="25"/>
      <c r="G691" s="7"/>
      <c r="H691" s="1"/>
      <c r="I691" s="1"/>
      <c r="J691" s="1"/>
      <c r="K691" s="14"/>
      <c r="L691" s="1"/>
    </row>
    <row r="692">
      <c r="B692" s="27"/>
      <c r="C692" s="1"/>
      <c r="D692" s="25"/>
      <c r="E692" s="1"/>
      <c r="F692" s="25"/>
      <c r="G692" s="7"/>
      <c r="H692" s="1"/>
      <c r="I692" s="1"/>
      <c r="J692" s="1"/>
      <c r="K692" s="14"/>
      <c r="L692" s="1"/>
    </row>
    <row r="693">
      <c r="B693" s="48"/>
      <c r="D693" s="25"/>
      <c r="F693" s="25"/>
      <c r="G693" s="25"/>
    </row>
    <row r="694">
      <c r="B694" s="48"/>
      <c r="D694" s="25"/>
      <c r="F694" s="25"/>
      <c r="G694" s="25"/>
    </row>
    <row r="695">
      <c r="B695" s="48"/>
      <c r="D695" s="25"/>
      <c r="F695" s="25"/>
      <c r="G695" s="25"/>
    </row>
    <row r="696">
      <c r="B696" s="48"/>
      <c r="D696" s="25"/>
      <c r="F696" s="25"/>
      <c r="G696" s="25"/>
    </row>
    <row r="697">
      <c r="B697" s="48"/>
      <c r="D697" s="25"/>
      <c r="F697" s="25"/>
      <c r="G697" s="25"/>
    </row>
    <row r="698">
      <c r="B698" s="48"/>
      <c r="D698" s="25"/>
      <c r="F698" s="25"/>
      <c r="G698" s="25"/>
    </row>
    <row r="699">
      <c r="B699" s="48"/>
      <c r="D699" s="25"/>
      <c r="F699" s="25"/>
      <c r="G699" s="25"/>
    </row>
    <row r="700">
      <c r="B700" s="48"/>
      <c r="D700" s="25"/>
      <c r="F700" s="25"/>
      <c r="G700" s="25"/>
    </row>
    <row r="701">
      <c r="B701" s="48"/>
      <c r="D701" s="25"/>
      <c r="F701" s="25"/>
      <c r="G701" s="25"/>
    </row>
    <row r="702">
      <c r="B702" s="48"/>
      <c r="D702" s="25"/>
      <c r="F702" s="25"/>
      <c r="G702" s="25"/>
    </row>
    <row r="703">
      <c r="B703" s="48"/>
      <c r="D703" s="25"/>
      <c r="F703" s="25"/>
      <c r="G703" s="25"/>
    </row>
    <row r="704">
      <c r="B704" s="48"/>
      <c r="D704" s="25"/>
      <c r="F704" s="25"/>
      <c r="G704" s="25"/>
    </row>
    <row r="705">
      <c r="B705" s="48"/>
      <c r="D705" s="25"/>
      <c r="F705" s="25"/>
      <c r="G705" s="25"/>
    </row>
    <row r="706">
      <c r="B706" s="48"/>
      <c r="D706" s="25"/>
      <c r="F706" s="25"/>
      <c r="G706" s="25"/>
    </row>
    <row r="707">
      <c r="B707" s="48"/>
      <c r="D707" s="25"/>
      <c r="F707" s="25"/>
      <c r="G707" s="25"/>
    </row>
    <row r="708">
      <c r="B708" s="48"/>
      <c r="D708" s="25"/>
      <c r="F708" s="25"/>
      <c r="G708" s="25"/>
    </row>
    <row r="709">
      <c r="B709" s="48"/>
      <c r="D709" s="25"/>
      <c r="F709" s="25"/>
      <c r="G709" s="25"/>
    </row>
    <row r="710">
      <c r="B710" s="48"/>
      <c r="D710" s="25"/>
      <c r="F710" s="25"/>
      <c r="G710" s="25"/>
    </row>
    <row r="711">
      <c r="B711" s="48"/>
      <c r="D711" s="25"/>
      <c r="F711" s="25"/>
      <c r="G711" s="25"/>
    </row>
    <row r="712">
      <c r="B712" s="48"/>
      <c r="D712" s="25"/>
      <c r="F712" s="25"/>
      <c r="G712" s="25"/>
    </row>
    <row r="713">
      <c r="B713" s="48"/>
      <c r="D713" s="25"/>
      <c r="F713" s="25"/>
      <c r="G713" s="25"/>
    </row>
    <row r="714">
      <c r="B714" s="48"/>
      <c r="D714" s="25"/>
      <c r="F714" s="25"/>
      <c r="G714" s="25"/>
    </row>
    <row r="715">
      <c r="B715" s="48"/>
      <c r="D715" s="25"/>
      <c r="F715" s="25"/>
      <c r="G715" s="25"/>
    </row>
    <row r="716">
      <c r="B716" s="48"/>
      <c r="D716" s="25"/>
      <c r="F716" s="25"/>
      <c r="G716" s="25"/>
    </row>
    <row r="717">
      <c r="B717" s="48"/>
      <c r="D717" s="25"/>
      <c r="F717" s="25"/>
      <c r="G717" s="25"/>
    </row>
    <row r="718">
      <c r="B718" s="48"/>
      <c r="D718" s="25"/>
      <c r="F718" s="25"/>
      <c r="G718" s="25"/>
    </row>
    <row r="719">
      <c r="B719" s="48"/>
      <c r="D719" s="25"/>
      <c r="F719" s="25"/>
      <c r="G719" s="25"/>
    </row>
    <row r="720">
      <c r="B720" s="48"/>
      <c r="D720" s="25"/>
      <c r="F720" s="25"/>
      <c r="G720" s="25"/>
    </row>
    <row r="721">
      <c r="B721" s="48"/>
      <c r="D721" s="25"/>
      <c r="F721" s="25"/>
      <c r="G721" s="25"/>
    </row>
    <row r="722">
      <c r="B722" s="48"/>
      <c r="D722" s="25"/>
      <c r="F722" s="25"/>
      <c r="G722" s="25"/>
    </row>
    <row r="723">
      <c r="B723" s="48"/>
      <c r="D723" s="25"/>
      <c r="F723" s="25"/>
      <c r="G723" s="25"/>
    </row>
    <row r="724">
      <c r="B724" s="48"/>
      <c r="D724" s="25"/>
      <c r="F724" s="25"/>
      <c r="G724" s="25"/>
    </row>
    <row r="725">
      <c r="B725" s="48"/>
      <c r="D725" s="25"/>
      <c r="F725" s="25"/>
      <c r="G725" s="25"/>
    </row>
    <row r="726">
      <c r="B726" s="48"/>
      <c r="D726" s="25"/>
      <c r="F726" s="25"/>
      <c r="G726" s="25"/>
    </row>
    <row r="727">
      <c r="B727" s="48"/>
      <c r="D727" s="25"/>
      <c r="F727" s="25"/>
      <c r="G727" s="25"/>
    </row>
    <row r="728">
      <c r="B728" s="48"/>
      <c r="D728" s="25"/>
      <c r="F728" s="25"/>
      <c r="G728" s="25"/>
    </row>
    <row r="729">
      <c r="B729" s="48"/>
      <c r="D729" s="25"/>
      <c r="F729" s="25"/>
      <c r="G729" s="25"/>
    </row>
    <row r="730">
      <c r="B730" s="48"/>
      <c r="D730" s="25"/>
      <c r="F730" s="25"/>
      <c r="G730" s="25"/>
    </row>
    <row r="731">
      <c r="B731" s="48"/>
      <c r="D731" s="25"/>
      <c r="F731" s="25"/>
      <c r="G731" s="25"/>
    </row>
    <row r="732">
      <c r="B732" s="48"/>
      <c r="D732" s="25"/>
      <c r="F732" s="25"/>
      <c r="G732" s="25"/>
    </row>
    <row r="733">
      <c r="B733" s="48"/>
      <c r="D733" s="25"/>
      <c r="F733" s="25"/>
      <c r="G733" s="25"/>
    </row>
    <row r="734">
      <c r="B734" s="48"/>
      <c r="D734" s="25"/>
      <c r="F734" s="25"/>
      <c r="G734" s="25"/>
    </row>
    <row r="735">
      <c r="B735" s="48"/>
      <c r="D735" s="25"/>
      <c r="F735" s="25"/>
      <c r="G735" s="25"/>
    </row>
    <row r="736">
      <c r="B736" s="48"/>
      <c r="D736" s="25"/>
      <c r="F736" s="25"/>
      <c r="G736" s="25"/>
    </row>
    <row r="737">
      <c r="B737" s="48"/>
      <c r="D737" s="25"/>
      <c r="F737" s="25"/>
      <c r="G737" s="25"/>
    </row>
    <row r="738">
      <c r="B738" s="48"/>
      <c r="D738" s="25"/>
      <c r="F738" s="25"/>
      <c r="G738" s="25"/>
    </row>
    <row r="739">
      <c r="B739" s="48"/>
      <c r="D739" s="25"/>
      <c r="F739" s="25"/>
      <c r="G739" s="25"/>
    </row>
    <row r="740">
      <c r="B740" s="48"/>
      <c r="D740" s="25"/>
      <c r="F740" s="25"/>
      <c r="G740" s="25"/>
    </row>
    <row r="741">
      <c r="B741" s="48"/>
      <c r="D741" s="25"/>
      <c r="F741" s="25"/>
      <c r="G741" s="25"/>
    </row>
    <row r="742">
      <c r="B742" s="48"/>
      <c r="D742" s="25"/>
      <c r="F742" s="25"/>
      <c r="G742" s="25"/>
    </row>
    <row r="743">
      <c r="B743" s="48"/>
      <c r="D743" s="25"/>
      <c r="F743" s="25"/>
      <c r="G743" s="25"/>
    </row>
    <row r="744">
      <c r="B744" s="48"/>
      <c r="D744" s="25"/>
      <c r="F744" s="25"/>
      <c r="G744" s="25"/>
    </row>
    <row r="745">
      <c r="B745" s="48"/>
      <c r="D745" s="25"/>
      <c r="F745" s="25"/>
      <c r="G745" s="25"/>
    </row>
    <row r="746">
      <c r="B746" s="48"/>
      <c r="D746" s="25"/>
      <c r="F746" s="25"/>
      <c r="G746" s="25"/>
    </row>
    <row r="747">
      <c r="B747" s="48"/>
      <c r="D747" s="25"/>
      <c r="F747" s="25"/>
      <c r="G747" s="25"/>
    </row>
    <row r="748">
      <c r="B748" s="48"/>
      <c r="D748" s="25"/>
      <c r="F748" s="25"/>
      <c r="G748" s="25"/>
    </row>
    <row r="749">
      <c r="B749" s="48"/>
      <c r="D749" s="25"/>
      <c r="F749" s="25"/>
      <c r="G749" s="25"/>
    </row>
    <row r="750">
      <c r="B750" s="48"/>
      <c r="D750" s="25"/>
      <c r="F750" s="25"/>
      <c r="G750" s="25"/>
    </row>
    <row r="751">
      <c r="B751" s="48"/>
      <c r="D751" s="25"/>
      <c r="F751" s="25"/>
      <c r="G751" s="25"/>
    </row>
    <row r="752">
      <c r="B752" s="48"/>
      <c r="D752" s="25"/>
      <c r="F752" s="25"/>
      <c r="G752" s="25"/>
    </row>
    <row r="753">
      <c r="B753" s="48"/>
      <c r="D753" s="25"/>
      <c r="F753" s="25"/>
      <c r="G753" s="25"/>
    </row>
    <row r="754">
      <c r="B754" s="48"/>
      <c r="D754" s="25"/>
      <c r="F754" s="25"/>
      <c r="G754" s="25"/>
    </row>
    <row r="755">
      <c r="B755" s="48"/>
      <c r="D755" s="25"/>
      <c r="F755" s="25"/>
      <c r="G755" s="25"/>
    </row>
    <row r="756">
      <c r="B756" s="48"/>
      <c r="D756" s="25"/>
      <c r="F756" s="25"/>
      <c r="G756" s="25"/>
    </row>
    <row r="757">
      <c r="B757" s="48"/>
      <c r="D757" s="25"/>
      <c r="F757" s="25"/>
      <c r="G757" s="25"/>
    </row>
    <row r="758">
      <c r="B758" s="48"/>
      <c r="D758" s="25"/>
      <c r="F758" s="25"/>
      <c r="G758" s="25"/>
    </row>
    <row r="759">
      <c r="B759" s="48"/>
      <c r="D759" s="25"/>
      <c r="F759" s="25"/>
      <c r="G759" s="25"/>
    </row>
    <row r="760">
      <c r="B760" s="48"/>
      <c r="D760" s="25"/>
      <c r="F760" s="25"/>
      <c r="G760" s="25"/>
    </row>
    <row r="761">
      <c r="B761" s="48"/>
      <c r="D761" s="25"/>
      <c r="F761" s="25"/>
      <c r="G761" s="25"/>
    </row>
    <row r="762">
      <c r="B762" s="48"/>
      <c r="D762" s="25"/>
      <c r="F762" s="25"/>
      <c r="G762" s="25"/>
    </row>
    <row r="763">
      <c r="B763" s="48"/>
      <c r="D763" s="25"/>
      <c r="F763" s="25"/>
      <c r="G763" s="25"/>
    </row>
    <row r="764">
      <c r="B764" s="48"/>
      <c r="D764" s="25"/>
      <c r="F764" s="25"/>
      <c r="G764" s="25"/>
    </row>
    <row r="765">
      <c r="B765" s="48"/>
      <c r="D765" s="25"/>
      <c r="F765" s="25"/>
      <c r="G765" s="25"/>
    </row>
    <row r="766">
      <c r="B766" s="48"/>
      <c r="D766" s="25"/>
      <c r="F766" s="25"/>
      <c r="G766" s="25"/>
    </row>
    <row r="767">
      <c r="B767" s="48"/>
      <c r="D767" s="25"/>
      <c r="F767" s="25"/>
      <c r="G767" s="25"/>
    </row>
    <row r="768">
      <c r="B768" s="48"/>
      <c r="D768" s="25"/>
      <c r="F768" s="25"/>
      <c r="G768" s="25"/>
    </row>
    <row r="769">
      <c r="B769" s="48"/>
      <c r="D769" s="25"/>
      <c r="F769" s="25"/>
      <c r="G769" s="25"/>
    </row>
    <row r="770">
      <c r="B770" s="48"/>
      <c r="D770" s="25"/>
      <c r="F770" s="25"/>
      <c r="G770" s="25"/>
    </row>
    <row r="771">
      <c r="B771" s="48"/>
      <c r="D771" s="25"/>
      <c r="F771" s="25"/>
      <c r="G771" s="25"/>
    </row>
    <row r="772">
      <c r="B772" s="48"/>
      <c r="D772" s="25"/>
      <c r="F772" s="25"/>
      <c r="G772" s="25"/>
    </row>
    <row r="773">
      <c r="B773" s="48"/>
      <c r="D773" s="25"/>
      <c r="F773" s="25"/>
      <c r="G773" s="25"/>
    </row>
    <row r="774">
      <c r="B774" s="48"/>
      <c r="D774" s="25"/>
      <c r="F774" s="25"/>
      <c r="G774" s="25"/>
    </row>
    <row r="775">
      <c r="B775" s="48"/>
      <c r="D775" s="25"/>
      <c r="F775" s="25"/>
      <c r="G775" s="25"/>
    </row>
    <row r="776">
      <c r="B776" s="48"/>
      <c r="D776" s="25"/>
      <c r="F776" s="25"/>
      <c r="G776" s="25"/>
    </row>
    <row r="777">
      <c r="B777" s="48"/>
      <c r="D777" s="25"/>
      <c r="F777" s="25"/>
      <c r="G777" s="25"/>
    </row>
    <row r="778">
      <c r="B778" s="48"/>
      <c r="D778" s="25"/>
      <c r="F778" s="25"/>
      <c r="G778" s="25"/>
    </row>
    <row r="779">
      <c r="B779" s="48"/>
      <c r="D779" s="25"/>
      <c r="F779" s="25"/>
      <c r="G779" s="25"/>
    </row>
    <row r="780">
      <c r="B780" s="48"/>
      <c r="D780" s="25"/>
      <c r="F780" s="25"/>
      <c r="G780" s="25"/>
    </row>
    <row r="781">
      <c r="B781" s="48"/>
      <c r="D781" s="25"/>
      <c r="F781" s="25"/>
      <c r="G781" s="25"/>
    </row>
    <row r="782">
      <c r="B782" s="48"/>
      <c r="D782" s="25"/>
      <c r="F782" s="25"/>
      <c r="G782" s="25"/>
    </row>
    <row r="783">
      <c r="B783" s="48"/>
      <c r="D783" s="25"/>
      <c r="F783" s="25"/>
      <c r="G783" s="25"/>
    </row>
    <row r="784">
      <c r="B784" s="48"/>
      <c r="D784" s="25"/>
      <c r="F784" s="25"/>
      <c r="G784" s="25"/>
    </row>
    <row r="785">
      <c r="B785" s="48"/>
      <c r="D785" s="25"/>
      <c r="F785" s="25"/>
      <c r="G785" s="25"/>
    </row>
    <row r="786">
      <c r="B786" s="48"/>
      <c r="D786" s="25"/>
      <c r="F786" s="25"/>
      <c r="G786" s="25"/>
    </row>
    <row r="787">
      <c r="B787" s="48"/>
      <c r="D787" s="25"/>
      <c r="F787" s="25"/>
      <c r="G787" s="25"/>
    </row>
    <row r="788">
      <c r="B788" s="48"/>
      <c r="D788" s="25"/>
      <c r="F788" s="25"/>
      <c r="G788" s="25"/>
    </row>
    <row r="789">
      <c r="B789" s="48"/>
      <c r="D789" s="25"/>
      <c r="F789" s="25"/>
      <c r="G789" s="25"/>
    </row>
    <row r="790">
      <c r="B790" s="48"/>
      <c r="D790" s="25"/>
      <c r="F790" s="25"/>
      <c r="G790" s="25"/>
    </row>
    <row r="791">
      <c r="B791" s="48"/>
      <c r="D791" s="25"/>
      <c r="F791" s="25"/>
      <c r="G791" s="25"/>
    </row>
    <row r="792">
      <c r="B792" s="48"/>
      <c r="D792" s="25"/>
      <c r="F792" s="25"/>
      <c r="G792" s="25"/>
    </row>
    <row r="793">
      <c r="B793" s="48"/>
      <c r="D793" s="25"/>
      <c r="F793" s="25"/>
      <c r="G793" s="25"/>
    </row>
    <row r="794">
      <c r="B794" s="48"/>
      <c r="D794" s="25"/>
      <c r="F794" s="25"/>
      <c r="G794" s="25"/>
    </row>
    <row r="795">
      <c r="B795" s="48"/>
      <c r="D795" s="25"/>
      <c r="F795" s="25"/>
      <c r="G795" s="25"/>
    </row>
    <row r="796">
      <c r="B796" s="48"/>
      <c r="D796" s="25"/>
      <c r="F796" s="25"/>
      <c r="G796" s="25"/>
    </row>
    <row r="797">
      <c r="B797" s="48"/>
      <c r="D797" s="25"/>
      <c r="F797" s="25"/>
      <c r="G797" s="25"/>
    </row>
    <row r="798">
      <c r="B798" s="48"/>
      <c r="D798" s="25"/>
      <c r="F798" s="25"/>
      <c r="G798" s="25"/>
    </row>
    <row r="799">
      <c r="B799" s="48"/>
      <c r="D799" s="25"/>
      <c r="F799" s="25"/>
      <c r="G799" s="25"/>
    </row>
    <row r="800">
      <c r="B800" s="48"/>
      <c r="D800" s="25"/>
      <c r="F800" s="25"/>
      <c r="G800" s="25"/>
    </row>
    <row r="801">
      <c r="B801" s="48"/>
      <c r="D801" s="25"/>
      <c r="F801" s="25"/>
      <c r="G801" s="25"/>
    </row>
    <row r="802">
      <c r="B802" s="48"/>
      <c r="D802" s="25"/>
      <c r="F802" s="25"/>
      <c r="G802" s="25"/>
    </row>
    <row r="803">
      <c r="B803" s="48"/>
      <c r="D803" s="25"/>
      <c r="F803" s="25"/>
      <c r="G803" s="25"/>
    </row>
    <row r="804">
      <c r="B804" s="48"/>
      <c r="D804" s="25"/>
      <c r="F804" s="25"/>
      <c r="G804" s="25"/>
    </row>
    <row r="805">
      <c r="B805" s="48"/>
      <c r="D805" s="25"/>
      <c r="F805" s="25"/>
      <c r="G805" s="25"/>
    </row>
    <row r="806">
      <c r="B806" s="48"/>
      <c r="D806" s="25"/>
      <c r="F806" s="25"/>
      <c r="G806" s="25"/>
    </row>
    <row r="807">
      <c r="B807" s="48"/>
      <c r="D807" s="25"/>
      <c r="F807" s="25"/>
      <c r="G807" s="25"/>
    </row>
    <row r="808">
      <c r="B808" s="48"/>
      <c r="D808" s="25"/>
      <c r="F808" s="25"/>
      <c r="G808" s="25"/>
    </row>
    <row r="809">
      <c r="B809" s="48"/>
      <c r="D809" s="25"/>
      <c r="F809" s="25"/>
      <c r="G809" s="25"/>
    </row>
    <row r="810">
      <c r="B810" s="48"/>
      <c r="D810" s="25"/>
      <c r="F810" s="25"/>
      <c r="G810" s="25"/>
    </row>
    <row r="811">
      <c r="B811" s="48"/>
      <c r="D811" s="25"/>
      <c r="F811" s="25"/>
      <c r="G811" s="25"/>
    </row>
    <row r="812">
      <c r="B812" s="48"/>
      <c r="D812" s="25"/>
      <c r="F812" s="25"/>
      <c r="G812" s="25"/>
    </row>
    <row r="813">
      <c r="B813" s="48"/>
      <c r="D813" s="25"/>
      <c r="F813" s="25"/>
      <c r="G813" s="25"/>
    </row>
    <row r="814">
      <c r="B814" s="48"/>
      <c r="D814" s="25"/>
      <c r="F814" s="25"/>
      <c r="G814" s="25"/>
    </row>
    <row r="815">
      <c r="B815" s="48"/>
      <c r="D815" s="25"/>
      <c r="F815" s="25"/>
      <c r="G815" s="25"/>
    </row>
    <row r="816">
      <c r="B816" s="48"/>
      <c r="D816" s="25"/>
      <c r="F816" s="25"/>
      <c r="G816" s="25"/>
    </row>
    <row r="817">
      <c r="B817" s="48"/>
      <c r="D817" s="25"/>
      <c r="F817" s="25"/>
      <c r="G817" s="25"/>
    </row>
    <row r="818">
      <c r="B818" s="48"/>
      <c r="D818" s="25"/>
      <c r="F818" s="25"/>
      <c r="G818" s="25"/>
    </row>
    <row r="819">
      <c r="B819" s="48"/>
      <c r="D819" s="25"/>
      <c r="F819" s="25"/>
      <c r="G819" s="25"/>
    </row>
    <row r="820">
      <c r="B820" s="48"/>
      <c r="D820" s="25"/>
      <c r="F820" s="25"/>
      <c r="G820" s="25"/>
    </row>
    <row r="821">
      <c r="B821" s="48"/>
      <c r="D821" s="25"/>
      <c r="F821" s="25"/>
      <c r="G821" s="25"/>
    </row>
    <row r="822">
      <c r="B822" s="48"/>
      <c r="D822" s="25"/>
      <c r="F822" s="25"/>
      <c r="G822" s="25"/>
    </row>
    <row r="823">
      <c r="B823" s="48"/>
      <c r="D823" s="25"/>
      <c r="F823" s="25"/>
      <c r="G823" s="25"/>
    </row>
    <row r="824">
      <c r="B824" s="48"/>
      <c r="D824" s="25"/>
      <c r="F824" s="25"/>
      <c r="G824" s="25"/>
    </row>
    <row r="825">
      <c r="B825" s="48"/>
      <c r="D825" s="25"/>
      <c r="F825" s="25"/>
      <c r="G825" s="25"/>
    </row>
    <row r="826">
      <c r="B826" s="48"/>
      <c r="D826" s="25"/>
      <c r="F826" s="25"/>
      <c r="G826" s="25"/>
    </row>
    <row r="827">
      <c r="B827" s="48"/>
      <c r="D827" s="25"/>
      <c r="F827" s="25"/>
      <c r="G827" s="25"/>
    </row>
    <row r="828">
      <c r="B828" s="48"/>
      <c r="D828" s="25"/>
      <c r="F828" s="25"/>
      <c r="G828" s="25"/>
    </row>
    <row r="829">
      <c r="B829" s="48"/>
      <c r="D829" s="25"/>
      <c r="F829" s="25"/>
      <c r="G829" s="25"/>
    </row>
    <row r="830">
      <c r="B830" s="48"/>
      <c r="D830" s="25"/>
      <c r="F830" s="25"/>
      <c r="G830" s="25"/>
    </row>
    <row r="831">
      <c r="B831" s="48"/>
      <c r="D831" s="25"/>
      <c r="F831" s="25"/>
      <c r="G831" s="25"/>
    </row>
    <row r="832">
      <c r="B832" s="48"/>
      <c r="D832" s="25"/>
      <c r="F832" s="25"/>
      <c r="G832" s="25"/>
    </row>
    <row r="833">
      <c r="B833" s="48"/>
      <c r="D833" s="25"/>
      <c r="F833" s="25"/>
      <c r="G833" s="25"/>
    </row>
    <row r="834">
      <c r="B834" s="48"/>
      <c r="D834" s="25"/>
      <c r="F834" s="25"/>
      <c r="G834" s="25"/>
    </row>
    <row r="835">
      <c r="B835" s="48"/>
      <c r="D835" s="25"/>
      <c r="F835" s="25"/>
      <c r="G835" s="25"/>
    </row>
    <row r="836">
      <c r="B836" s="48"/>
      <c r="D836" s="25"/>
      <c r="F836" s="25"/>
      <c r="G836" s="25"/>
    </row>
    <row r="837">
      <c r="B837" s="48"/>
      <c r="D837" s="25"/>
      <c r="F837" s="25"/>
      <c r="G837" s="25"/>
    </row>
    <row r="838">
      <c r="B838" s="48"/>
      <c r="D838" s="25"/>
      <c r="F838" s="25"/>
      <c r="G838" s="25"/>
    </row>
    <row r="839">
      <c r="B839" s="48"/>
      <c r="D839" s="25"/>
      <c r="F839" s="25"/>
      <c r="G839" s="25"/>
    </row>
    <row r="840">
      <c r="B840" s="48"/>
      <c r="D840" s="25"/>
      <c r="F840" s="25"/>
      <c r="G840" s="25"/>
    </row>
    <row r="841">
      <c r="B841" s="48"/>
      <c r="D841" s="25"/>
      <c r="F841" s="25"/>
      <c r="G841" s="25"/>
    </row>
    <row r="842">
      <c r="B842" s="48"/>
      <c r="D842" s="25"/>
      <c r="F842" s="25"/>
      <c r="G842" s="25"/>
    </row>
    <row r="843">
      <c r="B843" s="48"/>
      <c r="D843" s="25"/>
      <c r="F843" s="25"/>
      <c r="G843" s="25"/>
    </row>
    <row r="844">
      <c r="B844" s="48"/>
      <c r="D844" s="25"/>
      <c r="F844" s="25"/>
      <c r="G844" s="25"/>
    </row>
    <row r="845">
      <c r="B845" s="48"/>
      <c r="D845" s="25"/>
      <c r="F845" s="25"/>
      <c r="G845" s="25"/>
    </row>
    <row r="846">
      <c r="B846" s="48"/>
      <c r="D846" s="25"/>
      <c r="F846" s="25"/>
      <c r="G846" s="25"/>
    </row>
    <row r="847">
      <c r="B847" s="48"/>
      <c r="D847" s="25"/>
      <c r="F847" s="25"/>
      <c r="G847" s="25"/>
    </row>
    <row r="848">
      <c r="B848" s="48"/>
      <c r="D848" s="25"/>
      <c r="F848" s="25"/>
      <c r="G848" s="25"/>
    </row>
    <row r="849">
      <c r="B849" s="48"/>
      <c r="D849" s="25"/>
      <c r="F849" s="25"/>
      <c r="G849" s="25"/>
    </row>
    <row r="850">
      <c r="B850" s="48"/>
      <c r="D850" s="25"/>
      <c r="F850" s="25"/>
      <c r="G850" s="25"/>
    </row>
    <row r="851">
      <c r="B851" s="48"/>
      <c r="D851" s="25"/>
      <c r="F851" s="25"/>
      <c r="G851" s="25"/>
    </row>
    <row r="852">
      <c r="B852" s="48"/>
      <c r="D852" s="25"/>
      <c r="F852" s="25"/>
      <c r="G852" s="25"/>
    </row>
    <row r="853">
      <c r="B853" s="48"/>
      <c r="D853" s="25"/>
      <c r="F853" s="25"/>
      <c r="G853" s="25"/>
    </row>
    <row r="854">
      <c r="B854" s="48"/>
      <c r="D854" s="25"/>
      <c r="F854" s="25"/>
      <c r="G854" s="25"/>
    </row>
    <row r="855">
      <c r="B855" s="48"/>
      <c r="D855" s="25"/>
      <c r="F855" s="25"/>
      <c r="G855" s="25"/>
    </row>
    <row r="856">
      <c r="B856" s="48"/>
      <c r="D856" s="25"/>
      <c r="F856" s="25"/>
      <c r="G856" s="25"/>
    </row>
    <row r="857">
      <c r="B857" s="48"/>
      <c r="D857" s="25"/>
      <c r="F857" s="25"/>
      <c r="G857" s="25"/>
    </row>
    <row r="858">
      <c r="B858" s="48"/>
      <c r="D858" s="25"/>
      <c r="F858" s="25"/>
      <c r="G858" s="25"/>
    </row>
    <row r="859">
      <c r="B859" s="48"/>
      <c r="D859" s="25"/>
      <c r="F859" s="25"/>
      <c r="G859" s="25"/>
    </row>
    <row r="860">
      <c r="B860" s="48"/>
      <c r="D860" s="25"/>
      <c r="F860" s="25"/>
      <c r="G860" s="25"/>
    </row>
    <row r="861">
      <c r="B861" s="48"/>
      <c r="D861" s="25"/>
      <c r="F861" s="25"/>
      <c r="G861" s="25"/>
    </row>
    <row r="862">
      <c r="B862" s="48"/>
      <c r="D862" s="25"/>
      <c r="F862" s="25"/>
      <c r="G862" s="25"/>
    </row>
    <row r="863">
      <c r="B863" s="48"/>
      <c r="D863" s="25"/>
      <c r="F863" s="25"/>
      <c r="G863" s="25"/>
    </row>
    <row r="864">
      <c r="B864" s="48"/>
      <c r="D864" s="25"/>
      <c r="F864" s="25"/>
      <c r="G864" s="25"/>
    </row>
    <row r="865">
      <c r="B865" s="48"/>
      <c r="D865" s="25"/>
      <c r="F865" s="25"/>
      <c r="G865" s="25"/>
    </row>
    <row r="866">
      <c r="B866" s="48"/>
      <c r="D866" s="25"/>
      <c r="F866" s="25"/>
      <c r="G866" s="25"/>
    </row>
    <row r="867">
      <c r="B867" s="48"/>
      <c r="D867" s="25"/>
      <c r="F867" s="25"/>
      <c r="G867" s="25"/>
    </row>
    <row r="868">
      <c r="B868" s="48"/>
      <c r="D868" s="25"/>
      <c r="F868" s="25"/>
      <c r="G868" s="25"/>
    </row>
    <row r="869">
      <c r="B869" s="48"/>
      <c r="D869" s="25"/>
      <c r="F869" s="25"/>
      <c r="G869" s="25"/>
    </row>
    <row r="870">
      <c r="B870" s="48"/>
      <c r="D870" s="25"/>
      <c r="F870" s="25"/>
      <c r="G870" s="25"/>
    </row>
    <row r="871">
      <c r="B871" s="48"/>
      <c r="D871" s="25"/>
      <c r="F871" s="25"/>
      <c r="G871" s="25"/>
    </row>
    <row r="872">
      <c r="B872" s="48"/>
      <c r="D872" s="25"/>
      <c r="F872" s="25"/>
      <c r="G872" s="25"/>
    </row>
    <row r="873">
      <c r="B873" s="48"/>
      <c r="D873" s="25"/>
      <c r="F873" s="25"/>
      <c r="G873" s="25"/>
    </row>
    <row r="874">
      <c r="B874" s="48"/>
      <c r="D874" s="25"/>
      <c r="F874" s="25"/>
      <c r="G874" s="25"/>
    </row>
    <row r="875">
      <c r="B875" s="48"/>
      <c r="D875" s="25"/>
      <c r="F875" s="25"/>
      <c r="G875" s="25"/>
    </row>
    <row r="876">
      <c r="B876" s="48"/>
      <c r="D876" s="25"/>
      <c r="F876" s="25"/>
      <c r="G876" s="25"/>
    </row>
    <row r="877">
      <c r="B877" s="48"/>
      <c r="D877" s="25"/>
      <c r="F877" s="25"/>
      <c r="G877" s="25"/>
    </row>
    <row r="878">
      <c r="B878" s="48"/>
      <c r="D878" s="25"/>
      <c r="F878" s="25"/>
      <c r="G878" s="25"/>
    </row>
    <row r="879">
      <c r="B879" s="48"/>
      <c r="D879" s="25"/>
      <c r="F879" s="25"/>
      <c r="G879" s="25"/>
    </row>
    <row r="880">
      <c r="B880" s="48"/>
      <c r="D880" s="25"/>
      <c r="F880" s="25"/>
      <c r="G880" s="25"/>
    </row>
    <row r="881">
      <c r="B881" s="48"/>
      <c r="D881" s="25"/>
      <c r="F881" s="25"/>
      <c r="G881" s="25"/>
    </row>
    <row r="882">
      <c r="B882" s="48"/>
      <c r="D882" s="25"/>
      <c r="F882" s="25"/>
      <c r="G882" s="25"/>
    </row>
    <row r="883">
      <c r="B883" s="48"/>
      <c r="D883" s="25"/>
      <c r="F883" s="25"/>
      <c r="G883" s="25"/>
    </row>
    <row r="884">
      <c r="B884" s="48"/>
      <c r="D884" s="25"/>
      <c r="F884" s="25"/>
      <c r="G884" s="25"/>
    </row>
    <row r="885">
      <c r="B885" s="48"/>
      <c r="D885" s="25"/>
      <c r="F885" s="25"/>
      <c r="G885" s="25"/>
    </row>
    <row r="886">
      <c r="B886" s="48"/>
      <c r="D886" s="25"/>
      <c r="F886" s="25"/>
      <c r="G886" s="25"/>
    </row>
    <row r="887">
      <c r="B887" s="48"/>
      <c r="D887" s="25"/>
      <c r="F887" s="25"/>
      <c r="G887" s="25"/>
    </row>
    <row r="888">
      <c r="B888" s="48"/>
      <c r="D888" s="25"/>
      <c r="F888" s="25"/>
      <c r="G888" s="25"/>
    </row>
    <row r="889">
      <c r="B889" s="48"/>
      <c r="D889" s="25"/>
      <c r="F889" s="25"/>
      <c r="G889" s="25"/>
    </row>
    <row r="890">
      <c r="B890" s="48"/>
      <c r="D890" s="25"/>
      <c r="F890" s="25"/>
      <c r="G890" s="25"/>
    </row>
    <row r="891">
      <c r="B891" s="48"/>
      <c r="D891" s="25"/>
      <c r="F891" s="25"/>
      <c r="G891" s="25"/>
    </row>
    <row r="892">
      <c r="B892" s="48"/>
      <c r="D892" s="25"/>
      <c r="F892" s="25"/>
      <c r="G892" s="25"/>
    </row>
    <row r="893">
      <c r="B893" s="48"/>
      <c r="D893" s="25"/>
      <c r="F893" s="25"/>
      <c r="G893" s="25"/>
    </row>
    <row r="894">
      <c r="B894" s="48"/>
      <c r="D894" s="25"/>
      <c r="F894" s="25"/>
      <c r="G894" s="25"/>
    </row>
    <row r="895">
      <c r="B895" s="48"/>
      <c r="D895" s="25"/>
      <c r="F895" s="25"/>
      <c r="G895" s="25"/>
    </row>
    <row r="896">
      <c r="B896" s="48"/>
      <c r="D896" s="25"/>
      <c r="F896" s="25"/>
      <c r="G896" s="25"/>
    </row>
    <row r="897">
      <c r="B897" s="48"/>
      <c r="D897" s="25"/>
      <c r="F897" s="25"/>
      <c r="G897" s="25"/>
    </row>
    <row r="898">
      <c r="B898" s="48"/>
      <c r="D898" s="25"/>
      <c r="F898" s="25"/>
      <c r="G898" s="25"/>
    </row>
    <row r="899">
      <c r="B899" s="48"/>
      <c r="D899" s="25"/>
      <c r="F899" s="25"/>
      <c r="G899" s="25"/>
    </row>
    <row r="900">
      <c r="B900" s="48"/>
      <c r="D900" s="25"/>
      <c r="F900" s="25"/>
      <c r="G900" s="25"/>
    </row>
    <row r="901">
      <c r="B901" s="48"/>
      <c r="D901" s="25"/>
      <c r="F901" s="25"/>
      <c r="G901" s="25"/>
    </row>
    <row r="902">
      <c r="B902" s="48"/>
      <c r="D902" s="25"/>
      <c r="F902" s="25"/>
      <c r="G902" s="25"/>
    </row>
    <row r="903">
      <c r="B903" s="48"/>
      <c r="D903" s="25"/>
      <c r="F903" s="25"/>
      <c r="G903" s="25"/>
    </row>
    <row r="904">
      <c r="B904" s="48"/>
      <c r="D904" s="25"/>
      <c r="F904" s="25"/>
      <c r="G904" s="25"/>
    </row>
    <row r="905">
      <c r="B905" s="48"/>
      <c r="D905" s="25"/>
      <c r="F905" s="25"/>
      <c r="G905" s="25"/>
    </row>
    <row r="906">
      <c r="B906" s="48"/>
      <c r="D906" s="25"/>
      <c r="F906" s="25"/>
      <c r="G906" s="25"/>
    </row>
    <row r="907">
      <c r="B907" s="48"/>
      <c r="D907" s="25"/>
      <c r="F907" s="25"/>
      <c r="G907" s="25"/>
    </row>
    <row r="908">
      <c r="B908" s="48"/>
      <c r="D908" s="25"/>
      <c r="F908" s="25"/>
      <c r="G908" s="25"/>
    </row>
    <row r="909">
      <c r="B909" s="48"/>
      <c r="D909" s="25"/>
      <c r="F909" s="25"/>
      <c r="G909" s="25"/>
    </row>
    <row r="910">
      <c r="B910" s="48"/>
      <c r="D910" s="25"/>
      <c r="F910" s="25"/>
      <c r="G910" s="25"/>
    </row>
    <row r="911">
      <c r="B911" s="48"/>
      <c r="D911" s="25"/>
      <c r="F911" s="25"/>
      <c r="G911" s="25"/>
    </row>
    <row r="912">
      <c r="B912" s="48"/>
      <c r="D912" s="25"/>
      <c r="F912" s="25"/>
      <c r="G912" s="25"/>
    </row>
    <row r="913">
      <c r="B913" s="48"/>
      <c r="D913" s="25"/>
      <c r="F913" s="25"/>
      <c r="G913" s="25"/>
    </row>
    <row r="914">
      <c r="B914" s="48"/>
      <c r="D914" s="25"/>
      <c r="F914" s="25"/>
      <c r="G914" s="25"/>
    </row>
    <row r="915">
      <c r="B915" s="48"/>
      <c r="D915" s="25"/>
      <c r="F915" s="25"/>
      <c r="G915" s="25"/>
    </row>
    <row r="916">
      <c r="B916" s="48"/>
      <c r="D916" s="25"/>
      <c r="F916" s="25"/>
      <c r="G916" s="25"/>
    </row>
    <row r="917">
      <c r="B917" s="48"/>
      <c r="D917" s="25"/>
      <c r="F917" s="25"/>
      <c r="G917" s="25"/>
    </row>
    <row r="918">
      <c r="B918" s="48"/>
      <c r="D918" s="25"/>
      <c r="F918" s="25"/>
      <c r="G918" s="25"/>
    </row>
    <row r="919">
      <c r="B919" s="48"/>
      <c r="D919" s="25"/>
      <c r="F919" s="25"/>
      <c r="G919" s="25"/>
    </row>
    <row r="920">
      <c r="B920" s="48"/>
      <c r="D920" s="25"/>
      <c r="F920" s="25"/>
      <c r="G920" s="25"/>
    </row>
    <row r="921">
      <c r="B921" s="48"/>
      <c r="D921" s="25"/>
      <c r="F921" s="25"/>
      <c r="G921" s="25"/>
    </row>
    <row r="922">
      <c r="B922" s="48"/>
      <c r="D922" s="25"/>
      <c r="F922" s="25"/>
      <c r="G922" s="25"/>
    </row>
    <row r="923">
      <c r="B923" s="48"/>
      <c r="D923" s="25"/>
      <c r="F923" s="25"/>
      <c r="G923" s="25"/>
    </row>
    <row r="924">
      <c r="B924" s="48"/>
      <c r="D924" s="25"/>
      <c r="F924" s="25"/>
      <c r="G924" s="25"/>
    </row>
    <row r="925">
      <c r="B925" s="48"/>
      <c r="D925" s="25"/>
      <c r="F925" s="25"/>
      <c r="G925" s="25"/>
    </row>
    <row r="926">
      <c r="B926" s="48"/>
      <c r="D926" s="25"/>
      <c r="F926" s="25"/>
      <c r="G926" s="25"/>
    </row>
    <row r="927">
      <c r="B927" s="48"/>
      <c r="D927" s="25"/>
      <c r="F927" s="25"/>
      <c r="G927" s="25"/>
    </row>
    <row r="928">
      <c r="B928" s="48"/>
      <c r="D928" s="25"/>
      <c r="F928" s="25"/>
      <c r="G928" s="25"/>
    </row>
    <row r="929">
      <c r="B929" s="48"/>
      <c r="D929" s="25"/>
      <c r="F929" s="25"/>
      <c r="G929" s="25"/>
    </row>
    <row r="930">
      <c r="B930" s="48"/>
      <c r="D930" s="25"/>
      <c r="F930" s="25"/>
      <c r="G930" s="25"/>
    </row>
    <row r="931">
      <c r="B931" s="48"/>
      <c r="D931" s="25"/>
      <c r="F931" s="25"/>
      <c r="G931" s="25"/>
    </row>
    <row r="932">
      <c r="B932" s="48"/>
      <c r="D932" s="25"/>
      <c r="F932" s="25"/>
      <c r="G932" s="25"/>
    </row>
    <row r="933">
      <c r="B933" s="48"/>
      <c r="D933" s="25"/>
      <c r="F933" s="25"/>
      <c r="G933" s="25"/>
    </row>
    <row r="934">
      <c r="B934" s="48"/>
      <c r="D934" s="25"/>
      <c r="F934" s="25"/>
      <c r="G934" s="25"/>
    </row>
    <row r="935">
      <c r="B935" s="48"/>
      <c r="D935" s="25"/>
      <c r="F935" s="25"/>
      <c r="G935" s="25"/>
    </row>
    <row r="936">
      <c r="B936" s="48"/>
      <c r="D936" s="25"/>
      <c r="F936" s="25"/>
      <c r="G936" s="25"/>
    </row>
    <row r="937">
      <c r="B937" s="48"/>
      <c r="D937" s="25"/>
      <c r="F937" s="25"/>
      <c r="G937" s="25"/>
    </row>
    <row r="938">
      <c r="B938" s="48"/>
      <c r="D938" s="25"/>
      <c r="F938" s="25"/>
      <c r="G938" s="25"/>
    </row>
    <row r="939">
      <c r="B939" s="48"/>
      <c r="D939" s="25"/>
      <c r="F939" s="25"/>
      <c r="G939" s="25"/>
    </row>
    <row r="940">
      <c r="B940" s="48"/>
      <c r="D940" s="25"/>
      <c r="F940" s="25"/>
      <c r="G940" s="25"/>
    </row>
    <row r="941">
      <c r="B941" s="48"/>
      <c r="D941" s="25"/>
      <c r="F941" s="25"/>
      <c r="G941" s="25"/>
    </row>
    <row r="942">
      <c r="B942" s="48"/>
      <c r="D942" s="25"/>
      <c r="F942" s="25"/>
      <c r="G942" s="25"/>
    </row>
    <row r="943">
      <c r="B943" s="48"/>
      <c r="D943" s="25"/>
      <c r="F943" s="25"/>
      <c r="G943" s="25"/>
    </row>
    <row r="944">
      <c r="B944" s="48"/>
      <c r="D944" s="25"/>
      <c r="F944" s="25"/>
      <c r="G944" s="25"/>
    </row>
    <row r="945">
      <c r="B945" s="48"/>
      <c r="D945" s="25"/>
      <c r="F945" s="25"/>
      <c r="G945" s="25"/>
    </row>
    <row r="946">
      <c r="B946" s="48"/>
      <c r="D946" s="25"/>
      <c r="F946" s="25"/>
      <c r="G946" s="25"/>
    </row>
    <row r="947">
      <c r="B947" s="48"/>
      <c r="D947" s="25"/>
      <c r="F947" s="25"/>
      <c r="G947" s="25"/>
    </row>
    <row r="948">
      <c r="B948" s="48"/>
      <c r="D948" s="25"/>
      <c r="F948" s="25"/>
      <c r="G948" s="25"/>
    </row>
    <row r="949">
      <c r="B949" s="48"/>
      <c r="D949" s="25"/>
      <c r="F949" s="25"/>
      <c r="G949" s="25"/>
    </row>
    <row r="950">
      <c r="B950" s="48"/>
      <c r="D950" s="25"/>
      <c r="F950" s="25"/>
      <c r="G950" s="25"/>
    </row>
    <row r="951">
      <c r="B951" s="48"/>
      <c r="D951" s="25"/>
      <c r="F951" s="25"/>
      <c r="G951" s="25"/>
    </row>
    <row r="952">
      <c r="B952" s="48"/>
      <c r="D952" s="25"/>
      <c r="F952" s="25"/>
      <c r="G952" s="25"/>
    </row>
    <row r="953">
      <c r="B953" s="48"/>
      <c r="D953" s="25"/>
      <c r="F953" s="25"/>
      <c r="G953" s="25"/>
    </row>
    <row r="954">
      <c r="B954" s="48"/>
      <c r="D954" s="25"/>
      <c r="F954" s="25"/>
      <c r="G954" s="25"/>
    </row>
    <row r="955">
      <c r="B955" s="48"/>
      <c r="D955" s="25"/>
      <c r="F955" s="25"/>
      <c r="G955" s="25"/>
    </row>
    <row r="956">
      <c r="B956" s="48"/>
      <c r="D956" s="25"/>
      <c r="F956" s="25"/>
      <c r="G956" s="25"/>
    </row>
    <row r="957">
      <c r="B957" s="48"/>
      <c r="D957" s="25"/>
      <c r="F957" s="25"/>
      <c r="G957" s="25"/>
    </row>
    <row r="958">
      <c r="B958" s="48"/>
      <c r="D958" s="25"/>
      <c r="F958" s="25"/>
      <c r="G958" s="25"/>
    </row>
    <row r="959">
      <c r="B959" s="48"/>
      <c r="D959" s="25"/>
      <c r="F959" s="25"/>
      <c r="G959" s="25"/>
    </row>
    <row r="960">
      <c r="B960" s="48"/>
      <c r="D960" s="25"/>
      <c r="F960" s="25"/>
      <c r="G960" s="25"/>
    </row>
    <row r="961">
      <c r="B961" s="48"/>
      <c r="D961" s="25"/>
      <c r="F961" s="25"/>
      <c r="G961" s="25"/>
    </row>
    <row r="962">
      <c r="B962" s="48"/>
      <c r="D962" s="25"/>
      <c r="F962" s="25"/>
      <c r="G962" s="25"/>
    </row>
    <row r="963">
      <c r="B963" s="48"/>
      <c r="D963" s="25"/>
      <c r="F963" s="25"/>
      <c r="G963" s="25"/>
    </row>
    <row r="964">
      <c r="B964" s="48"/>
      <c r="D964" s="25"/>
      <c r="F964" s="25"/>
      <c r="G964" s="25"/>
    </row>
    <row r="965">
      <c r="B965" s="48"/>
      <c r="D965" s="25"/>
      <c r="F965" s="25"/>
      <c r="G965" s="25"/>
    </row>
    <row r="966">
      <c r="B966" s="48"/>
      <c r="D966" s="25"/>
      <c r="F966" s="25"/>
      <c r="G966" s="25"/>
    </row>
    <row r="967">
      <c r="B967" s="48"/>
      <c r="D967" s="25"/>
      <c r="F967" s="25"/>
      <c r="G967" s="25"/>
    </row>
    <row r="968">
      <c r="B968" s="48"/>
      <c r="D968" s="25"/>
      <c r="F968" s="25"/>
      <c r="G968" s="25"/>
    </row>
    <row r="969">
      <c r="B969" s="48"/>
      <c r="D969" s="25"/>
      <c r="F969" s="25"/>
      <c r="G969" s="25"/>
    </row>
    <row r="970">
      <c r="B970" s="48"/>
      <c r="D970" s="25"/>
      <c r="F970" s="25"/>
      <c r="G970" s="25"/>
    </row>
    <row r="971">
      <c r="B971" s="48"/>
      <c r="D971" s="25"/>
      <c r="F971" s="25"/>
      <c r="G971" s="25"/>
    </row>
    <row r="972">
      <c r="B972" s="48"/>
      <c r="D972" s="25"/>
      <c r="F972" s="25"/>
      <c r="G972" s="25"/>
    </row>
    <row r="973">
      <c r="B973" s="48"/>
      <c r="D973" s="25"/>
      <c r="F973" s="25"/>
      <c r="G973" s="25"/>
    </row>
    <row r="974">
      <c r="B974" s="48"/>
      <c r="D974" s="25"/>
      <c r="F974" s="25"/>
      <c r="G974" s="25"/>
    </row>
    <row r="975">
      <c r="B975" s="48"/>
      <c r="D975" s="25"/>
      <c r="F975" s="25"/>
      <c r="G975" s="25"/>
    </row>
    <row r="976">
      <c r="B976" s="48"/>
      <c r="D976" s="25"/>
      <c r="F976" s="25"/>
      <c r="G976" s="25"/>
    </row>
    <row r="977">
      <c r="B977" s="48"/>
      <c r="D977" s="25"/>
      <c r="F977" s="25"/>
      <c r="G977" s="25"/>
    </row>
    <row r="978">
      <c r="B978" s="48"/>
      <c r="D978" s="25"/>
      <c r="F978" s="25"/>
      <c r="G978" s="25"/>
    </row>
    <row r="979">
      <c r="B979" s="48"/>
      <c r="D979" s="25"/>
      <c r="F979" s="25"/>
      <c r="G979" s="25"/>
    </row>
    <row r="980">
      <c r="B980" s="48"/>
      <c r="D980" s="25"/>
      <c r="F980" s="25"/>
      <c r="G980" s="25"/>
    </row>
    <row r="981">
      <c r="B981" s="48"/>
      <c r="D981" s="25"/>
      <c r="F981" s="25"/>
      <c r="G981" s="25"/>
    </row>
    <row r="982">
      <c r="B982" s="48"/>
      <c r="D982" s="25"/>
      <c r="F982" s="25"/>
      <c r="G982" s="25"/>
    </row>
    <row r="983">
      <c r="B983" s="48"/>
      <c r="D983" s="25"/>
      <c r="F983" s="25"/>
      <c r="G983" s="25"/>
    </row>
    <row r="984">
      <c r="B984" s="48"/>
      <c r="D984" s="25"/>
      <c r="F984" s="25"/>
      <c r="G984" s="25"/>
    </row>
    <row r="985">
      <c r="B985" s="48"/>
      <c r="D985" s="25"/>
      <c r="F985" s="25"/>
      <c r="G985" s="25"/>
    </row>
    <row r="986">
      <c r="B986" s="48"/>
      <c r="D986" s="25"/>
      <c r="F986" s="25"/>
      <c r="G986" s="25"/>
    </row>
    <row r="987">
      <c r="B987" s="48"/>
      <c r="D987" s="25"/>
      <c r="F987" s="25"/>
      <c r="G987" s="25"/>
    </row>
    <row r="988">
      <c r="B988" s="48"/>
      <c r="D988" s="25"/>
      <c r="F988" s="25"/>
      <c r="G988" s="25"/>
    </row>
    <row r="989">
      <c r="B989" s="48"/>
      <c r="D989" s="25"/>
      <c r="F989" s="25"/>
      <c r="G989" s="25"/>
    </row>
    <row r="990">
      <c r="B990" s="48"/>
      <c r="D990" s="25"/>
      <c r="F990" s="25"/>
      <c r="G990" s="25"/>
    </row>
    <row r="991">
      <c r="B991" s="48"/>
      <c r="D991" s="25"/>
      <c r="F991" s="25"/>
      <c r="G991" s="25"/>
    </row>
    <row r="992">
      <c r="B992" s="48"/>
      <c r="D992" s="25"/>
      <c r="F992" s="25"/>
      <c r="G992" s="25"/>
    </row>
    <row r="993">
      <c r="B993" s="48"/>
      <c r="D993" s="25"/>
      <c r="F993" s="25"/>
      <c r="G993" s="25"/>
    </row>
    <row r="994">
      <c r="B994" s="48"/>
      <c r="D994" s="25"/>
      <c r="F994" s="25"/>
      <c r="G994" s="25"/>
    </row>
    <row r="995">
      <c r="B995" s="48"/>
      <c r="D995" s="25"/>
      <c r="F995" s="25"/>
      <c r="G995" s="25"/>
    </row>
    <row r="996">
      <c r="B996" s="48"/>
      <c r="D996" s="25"/>
      <c r="F996" s="25"/>
      <c r="G996" s="25"/>
    </row>
    <row r="997">
      <c r="B997" s="48"/>
      <c r="D997" s="25"/>
      <c r="F997" s="25"/>
      <c r="G997" s="25"/>
    </row>
    <row r="998">
      <c r="B998" s="48"/>
      <c r="D998" s="25"/>
      <c r="F998" s="25"/>
      <c r="G998" s="25"/>
    </row>
    <row r="999">
      <c r="B999" s="48"/>
      <c r="D999" s="25"/>
      <c r="F999" s="25"/>
      <c r="G999" s="25"/>
    </row>
    <row r="1000">
      <c r="B1000" s="48"/>
      <c r="D1000" s="25"/>
      <c r="F1000" s="25"/>
      <c r="G1000" s="25"/>
    </row>
    <row r="1001">
      <c r="B1001" s="48"/>
      <c r="D1001" s="25"/>
      <c r="F1001" s="25"/>
      <c r="G1001" s="25"/>
    </row>
    <row r="1002">
      <c r="B1002" s="48"/>
      <c r="D1002" s="25"/>
      <c r="F1002" s="25"/>
      <c r="G1002" s="25"/>
    </row>
    <row r="1003">
      <c r="B1003" s="48"/>
      <c r="D1003" s="25"/>
      <c r="F1003" s="25"/>
      <c r="G1003" s="25"/>
    </row>
    <row r="1004">
      <c r="B1004" s="48"/>
      <c r="D1004" s="25"/>
      <c r="F1004" s="25"/>
      <c r="G1004" s="25"/>
    </row>
    <row r="1005">
      <c r="B1005" s="48"/>
      <c r="D1005" s="25"/>
      <c r="F1005" s="25"/>
      <c r="G1005" s="25"/>
    </row>
    <row r="1006">
      <c r="B1006" s="48"/>
      <c r="D1006" s="25"/>
      <c r="F1006" s="25"/>
      <c r="G1006" s="25"/>
    </row>
    <row r="1007">
      <c r="B1007" s="48"/>
      <c r="D1007" s="25"/>
      <c r="F1007" s="25"/>
      <c r="G1007" s="25"/>
    </row>
    <row r="1008">
      <c r="B1008" s="48"/>
      <c r="D1008" s="25"/>
      <c r="F1008" s="25"/>
      <c r="G1008" s="25"/>
    </row>
    <row r="1009">
      <c r="B1009" s="48"/>
      <c r="D1009" s="25"/>
      <c r="F1009" s="25"/>
      <c r="G1009" s="25"/>
    </row>
    <row r="1010">
      <c r="B1010" s="48"/>
      <c r="D1010" s="25"/>
      <c r="F1010" s="25"/>
      <c r="G1010" s="25"/>
    </row>
    <row r="1011">
      <c r="B1011" s="48"/>
      <c r="D1011" s="25"/>
      <c r="F1011" s="25"/>
      <c r="G1011" s="25"/>
    </row>
    <row r="1012">
      <c r="B1012" s="48"/>
      <c r="D1012" s="25"/>
      <c r="F1012" s="25"/>
      <c r="G1012" s="25"/>
    </row>
    <row r="1013">
      <c r="B1013" s="48"/>
      <c r="D1013" s="25"/>
      <c r="F1013" s="25"/>
      <c r="G1013" s="25"/>
    </row>
    <row r="1014">
      <c r="B1014" s="48"/>
      <c r="D1014" s="25"/>
      <c r="F1014" s="25"/>
      <c r="G1014" s="25"/>
    </row>
    <row r="1015">
      <c r="B1015" s="48"/>
      <c r="D1015" s="25"/>
      <c r="F1015" s="25"/>
      <c r="G1015" s="25"/>
    </row>
    <row r="1016">
      <c r="B1016" s="48"/>
      <c r="D1016" s="25"/>
      <c r="F1016" s="25"/>
      <c r="G1016" s="25"/>
    </row>
    <row r="1017">
      <c r="B1017" s="48"/>
      <c r="D1017" s="25"/>
      <c r="F1017" s="25"/>
      <c r="G1017" s="25"/>
    </row>
    <row r="1018">
      <c r="B1018" s="48"/>
      <c r="D1018" s="25"/>
      <c r="F1018" s="25"/>
      <c r="G1018" s="25"/>
    </row>
    <row r="1019">
      <c r="B1019" s="48"/>
      <c r="D1019" s="25"/>
      <c r="F1019" s="25"/>
      <c r="G1019" s="25"/>
    </row>
    <row r="1020">
      <c r="B1020" s="48"/>
      <c r="D1020" s="25"/>
      <c r="F1020" s="25"/>
      <c r="G1020" s="25"/>
    </row>
    <row r="1021">
      <c r="B1021" s="48"/>
      <c r="D1021" s="25"/>
      <c r="F1021" s="25"/>
      <c r="G1021" s="25"/>
    </row>
    <row r="1022">
      <c r="B1022" s="48"/>
      <c r="D1022" s="25"/>
      <c r="F1022" s="25"/>
      <c r="G1022" s="25"/>
    </row>
    <row r="1023">
      <c r="B1023" s="48"/>
      <c r="D1023" s="25"/>
      <c r="F1023" s="25"/>
      <c r="G1023" s="25"/>
    </row>
    <row r="1024">
      <c r="B1024" s="48"/>
      <c r="D1024" s="25"/>
      <c r="F1024" s="25"/>
      <c r="G1024" s="25"/>
    </row>
    <row r="1025">
      <c r="B1025" s="48"/>
      <c r="D1025" s="25"/>
      <c r="F1025" s="25"/>
      <c r="G1025" s="25"/>
    </row>
    <row r="1026">
      <c r="B1026" s="48"/>
      <c r="D1026" s="25"/>
      <c r="F1026" s="25"/>
      <c r="G1026" s="25"/>
    </row>
    <row r="1027">
      <c r="B1027" s="48"/>
      <c r="D1027" s="25"/>
      <c r="F1027" s="25"/>
      <c r="G1027" s="25"/>
    </row>
    <row r="1028">
      <c r="B1028" s="48"/>
      <c r="D1028" s="25"/>
      <c r="F1028" s="25"/>
      <c r="G1028" s="25"/>
    </row>
    <row r="1029">
      <c r="B1029" s="48"/>
      <c r="D1029" s="25"/>
      <c r="F1029" s="25"/>
      <c r="G1029" s="25"/>
    </row>
    <row r="1030">
      <c r="B1030" s="48"/>
      <c r="D1030" s="25"/>
      <c r="F1030" s="25"/>
      <c r="G1030" s="25"/>
    </row>
    <row r="1031">
      <c r="B1031" s="48"/>
      <c r="D1031" s="25"/>
      <c r="F1031" s="25"/>
      <c r="G1031" s="25"/>
    </row>
    <row r="1032">
      <c r="B1032" s="48"/>
      <c r="D1032" s="25"/>
      <c r="F1032" s="25"/>
      <c r="G1032" s="25"/>
    </row>
    <row r="1033">
      <c r="B1033" s="48"/>
      <c r="D1033" s="25"/>
      <c r="F1033" s="25"/>
      <c r="G1033" s="25"/>
    </row>
    <row r="1034">
      <c r="B1034" s="48"/>
      <c r="D1034" s="25"/>
      <c r="F1034" s="25"/>
      <c r="G1034" s="25"/>
    </row>
    <row r="1035">
      <c r="B1035" s="48"/>
      <c r="D1035" s="25"/>
      <c r="F1035" s="25"/>
      <c r="G1035" s="25"/>
    </row>
    <row r="1036">
      <c r="B1036" s="48"/>
      <c r="D1036" s="25"/>
      <c r="F1036" s="25"/>
      <c r="G1036" s="25"/>
    </row>
    <row r="1037">
      <c r="B1037" s="48"/>
      <c r="D1037" s="25"/>
      <c r="F1037" s="25"/>
      <c r="G1037" s="25"/>
    </row>
    <row r="1038">
      <c r="B1038" s="48"/>
      <c r="D1038" s="25"/>
      <c r="F1038" s="25"/>
      <c r="G1038" s="25"/>
    </row>
    <row r="1039">
      <c r="B1039" s="48"/>
      <c r="D1039" s="25"/>
      <c r="F1039" s="25"/>
      <c r="G1039" s="25"/>
    </row>
    <row r="1040">
      <c r="B1040" s="48"/>
      <c r="D1040" s="25"/>
      <c r="F1040" s="25"/>
      <c r="G1040" s="25"/>
    </row>
  </sheetData>
  <hyperlinks>
    <hyperlink r:id="rId1" ref="F19"/>
    <hyperlink r:id="rId2" ref="F570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6.38"/>
    <col customWidth="1" min="3" max="3" width="18.38"/>
    <col customWidth="1" min="4" max="4" width="11.38"/>
    <col customWidth="1" min="5" max="5" width="17.25"/>
    <col customWidth="1" min="6" max="6" width="14.88"/>
    <col customWidth="1" min="7" max="7" width="25.13"/>
    <col customWidth="1" min="8" max="8" width="44.25"/>
    <col customWidth="1" min="9" max="9" width="7.75"/>
    <col customWidth="1" min="10" max="10" width="15.75"/>
    <col customWidth="1" min="12" max="12" width="23.25"/>
    <col customWidth="1" min="13" max="13" width="16.5"/>
    <col customWidth="1" min="15" max="15" width="19.88"/>
  </cols>
  <sheetData>
    <row r="1">
      <c r="A1" s="1" t="s">
        <v>0</v>
      </c>
      <c r="C1" s="1" t="s">
        <v>1</v>
      </c>
      <c r="D1" s="1" t="s">
        <v>2</v>
      </c>
    </row>
    <row r="2">
      <c r="A2" s="1" t="s">
        <v>5</v>
      </c>
      <c r="C2" s="1" t="s">
        <v>6</v>
      </c>
      <c r="D2" s="200">
        <v>45826.0</v>
      </c>
      <c r="E2" s="1" t="s">
        <v>7</v>
      </c>
    </row>
    <row r="3">
      <c r="C3" s="1" t="s">
        <v>8</v>
      </c>
      <c r="H3" s="15"/>
    </row>
    <row r="4">
      <c r="B4" s="1"/>
    </row>
    <row r="5">
      <c r="A5" s="16" t="s">
        <v>0</v>
      </c>
      <c r="B5" s="16" t="s">
        <v>10</v>
      </c>
      <c r="C5" s="17" t="s">
        <v>11</v>
      </c>
      <c r="D5" s="17" t="s">
        <v>12</v>
      </c>
      <c r="E5" s="18" t="s">
        <v>13</v>
      </c>
      <c r="F5" s="18" t="s">
        <v>12</v>
      </c>
      <c r="G5" s="19" t="s">
        <v>14</v>
      </c>
      <c r="H5" s="20" t="s">
        <v>16</v>
      </c>
      <c r="I5" s="20" t="s">
        <v>17</v>
      </c>
      <c r="J5" s="21" t="s">
        <v>165</v>
      </c>
      <c r="K5" s="22" t="s">
        <v>19</v>
      </c>
    </row>
    <row r="6">
      <c r="B6" s="24">
        <v>45782.0</v>
      </c>
      <c r="C6" s="1" t="s">
        <v>2169</v>
      </c>
      <c r="D6" s="167">
        <f>56971413150</f>
        <v>56971413150</v>
      </c>
      <c r="E6" s="6" t="s">
        <v>2170</v>
      </c>
      <c r="F6" s="25"/>
      <c r="G6" s="1" t="s">
        <v>22</v>
      </c>
      <c r="H6" s="6" t="s">
        <v>148</v>
      </c>
      <c r="I6" s="1" t="s">
        <v>95</v>
      </c>
      <c r="J6" s="6" t="s">
        <v>407</v>
      </c>
      <c r="K6" s="25"/>
    </row>
    <row r="7">
      <c r="B7" s="24">
        <v>45803.0</v>
      </c>
      <c r="C7" s="1" t="s">
        <v>8</v>
      </c>
      <c r="E7" s="6" t="s">
        <v>2171</v>
      </c>
      <c r="F7" s="7" t="s">
        <v>2172</v>
      </c>
      <c r="G7" s="1" t="s">
        <v>22</v>
      </c>
      <c r="H7" s="6" t="s">
        <v>2173</v>
      </c>
      <c r="I7" s="1" t="s">
        <v>95</v>
      </c>
      <c r="J7" s="26"/>
      <c r="K7" s="25"/>
    </row>
    <row r="8">
      <c r="B8" s="296">
        <v>45810.0</v>
      </c>
      <c r="C8" s="6" t="s">
        <v>270</v>
      </c>
      <c r="D8" s="25"/>
      <c r="E8" s="1" t="s">
        <v>2174</v>
      </c>
      <c r="F8" s="1" t="s">
        <v>2175</v>
      </c>
      <c r="G8" s="49" t="s">
        <v>22</v>
      </c>
      <c r="H8" s="1" t="s">
        <v>1124</v>
      </c>
      <c r="I8" s="1" t="s">
        <v>95</v>
      </c>
      <c r="J8" s="26"/>
      <c r="K8" s="25"/>
    </row>
    <row r="9">
      <c r="B9" s="28">
        <v>45845.0</v>
      </c>
      <c r="C9" s="1" t="s">
        <v>146</v>
      </c>
      <c r="D9" s="25"/>
      <c r="E9" s="1" t="s">
        <v>2176</v>
      </c>
      <c r="F9" s="25"/>
      <c r="G9" s="7" t="s">
        <v>22</v>
      </c>
      <c r="H9" s="1" t="s">
        <v>1254</v>
      </c>
      <c r="I9" s="1" t="s">
        <v>1251</v>
      </c>
      <c r="J9" s="6" t="s">
        <v>407</v>
      </c>
      <c r="K9" s="25"/>
    </row>
    <row r="10">
      <c r="B10" s="24">
        <v>45863.0</v>
      </c>
      <c r="C10" s="1" t="s">
        <v>190</v>
      </c>
      <c r="D10" s="25"/>
      <c r="E10" s="1" t="s">
        <v>2177</v>
      </c>
      <c r="F10" s="25"/>
      <c r="G10" s="7" t="s">
        <v>0</v>
      </c>
      <c r="H10" s="1" t="s">
        <v>2178</v>
      </c>
      <c r="I10" s="1" t="s">
        <v>1246</v>
      </c>
      <c r="J10" s="6" t="s">
        <v>407</v>
      </c>
      <c r="K10" s="25"/>
    </row>
    <row r="11">
      <c r="B11" s="28">
        <v>45874.0</v>
      </c>
      <c r="C11" s="1" t="s">
        <v>1408</v>
      </c>
      <c r="D11" s="25"/>
      <c r="E11" s="1" t="s">
        <v>2179</v>
      </c>
      <c r="F11" s="7" t="s">
        <v>2180</v>
      </c>
      <c r="G11" s="7" t="s">
        <v>22</v>
      </c>
      <c r="H11" s="1" t="s">
        <v>2181</v>
      </c>
      <c r="I11" s="1" t="s">
        <v>400</v>
      </c>
      <c r="J11" s="6" t="s">
        <v>407</v>
      </c>
      <c r="K11" s="25"/>
    </row>
    <row r="12">
      <c r="B12" s="29">
        <v>45876.0</v>
      </c>
      <c r="C12" s="1" t="s">
        <v>146</v>
      </c>
      <c r="D12" s="25"/>
      <c r="E12" s="1" t="s">
        <v>1399</v>
      </c>
      <c r="F12" s="25"/>
      <c r="G12" s="7" t="s">
        <v>22</v>
      </c>
      <c r="H12" s="1" t="s">
        <v>565</v>
      </c>
      <c r="I12" s="1" t="s">
        <v>206</v>
      </c>
      <c r="J12" s="6" t="s">
        <v>407</v>
      </c>
      <c r="K12" s="7" t="s">
        <v>0</v>
      </c>
    </row>
    <row r="13">
      <c r="B13" s="29">
        <v>45877.0</v>
      </c>
      <c r="C13" s="1" t="s">
        <v>1435</v>
      </c>
      <c r="D13" s="25"/>
      <c r="E13" s="1" t="s">
        <v>2182</v>
      </c>
      <c r="F13" s="25"/>
      <c r="G13" s="7" t="s">
        <v>85</v>
      </c>
      <c r="H13" s="1" t="s">
        <v>1445</v>
      </c>
      <c r="I13" s="1" t="s">
        <v>48</v>
      </c>
      <c r="J13" s="26"/>
      <c r="K13" s="25"/>
    </row>
    <row r="14">
      <c r="B14" s="24">
        <v>45887.0</v>
      </c>
      <c r="C14" s="1" t="s">
        <v>8</v>
      </c>
      <c r="D14" s="25"/>
      <c r="E14" s="1" t="s">
        <v>2183</v>
      </c>
      <c r="F14" s="7" t="s">
        <v>2184</v>
      </c>
      <c r="G14" s="7" t="s">
        <v>22</v>
      </c>
      <c r="H14" s="1" t="s">
        <v>2185</v>
      </c>
      <c r="I14" s="1" t="s">
        <v>95</v>
      </c>
      <c r="J14" s="6" t="s">
        <v>407</v>
      </c>
      <c r="K14" s="25"/>
    </row>
    <row r="15">
      <c r="B15" s="49" t="s">
        <v>1698</v>
      </c>
      <c r="C15" s="1" t="s">
        <v>465</v>
      </c>
      <c r="D15" s="25"/>
      <c r="E15" s="1" t="s">
        <v>2186</v>
      </c>
      <c r="F15" s="7" t="s">
        <v>2187</v>
      </c>
      <c r="G15" s="7" t="s">
        <v>22</v>
      </c>
      <c r="H15" s="1" t="s">
        <v>1426</v>
      </c>
      <c r="I15" s="1" t="s">
        <v>33</v>
      </c>
      <c r="J15" s="26"/>
      <c r="K15" s="25"/>
    </row>
    <row r="16">
      <c r="A16" s="1">
        <v>0.0</v>
      </c>
      <c r="B16" s="184">
        <v>45937.0</v>
      </c>
      <c r="C16" s="1" t="s">
        <v>1128</v>
      </c>
      <c r="D16" s="25"/>
      <c r="E16" s="1" t="s">
        <v>2188</v>
      </c>
      <c r="F16" s="7">
        <v>2.09781876E8</v>
      </c>
      <c r="G16" s="7" t="s">
        <v>22</v>
      </c>
      <c r="H16" s="1" t="s">
        <v>2189</v>
      </c>
      <c r="I16" s="1" t="s">
        <v>95</v>
      </c>
      <c r="J16" s="26"/>
      <c r="K16" s="25"/>
    </row>
    <row r="17">
      <c r="B17" s="187">
        <v>45940.0</v>
      </c>
      <c r="C17" s="1" t="s">
        <v>2190</v>
      </c>
      <c r="D17" s="25"/>
      <c r="E17" s="1" t="s">
        <v>2191</v>
      </c>
      <c r="F17" s="25"/>
      <c r="G17" s="7" t="s">
        <v>2192</v>
      </c>
      <c r="H17" s="1" t="s">
        <v>1856</v>
      </c>
      <c r="I17" s="1" t="s">
        <v>25</v>
      </c>
      <c r="J17" s="26"/>
    </row>
    <row r="18">
      <c r="A18" s="86"/>
      <c r="B18" s="143">
        <v>45964.0</v>
      </c>
      <c r="C18" s="86" t="s">
        <v>2190</v>
      </c>
      <c r="D18" s="89"/>
      <c r="E18" s="86" t="s">
        <v>2193</v>
      </c>
      <c r="F18" s="89"/>
      <c r="G18" s="89" t="s">
        <v>22</v>
      </c>
      <c r="H18" s="86"/>
      <c r="I18" s="86" t="s">
        <v>2194</v>
      </c>
      <c r="J18" s="86" t="s">
        <v>25</v>
      </c>
      <c r="K18" s="297"/>
      <c r="L18" s="89"/>
      <c r="M18" s="86" t="s">
        <v>2195</v>
      </c>
    </row>
    <row r="19">
      <c r="A19" s="86"/>
      <c r="B19" s="143">
        <v>45968.0</v>
      </c>
      <c r="C19" s="86" t="s">
        <v>149</v>
      </c>
      <c r="D19" s="89"/>
      <c r="E19" s="86" t="s">
        <v>1955</v>
      </c>
      <c r="F19" s="89"/>
      <c r="G19" s="89" t="s">
        <v>22</v>
      </c>
      <c r="H19" s="86"/>
      <c r="I19" s="86" t="s">
        <v>1754</v>
      </c>
      <c r="J19" s="86" t="s">
        <v>25</v>
      </c>
      <c r="K19" s="236"/>
      <c r="L19" s="89" t="s">
        <v>2196</v>
      </c>
      <c r="M19" s="86"/>
    </row>
    <row r="20">
      <c r="A20" s="86"/>
      <c r="B20" s="279">
        <v>45981.0</v>
      </c>
      <c r="C20" s="86" t="s">
        <v>65</v>
      </c>
      <c r="D20" s="89"/>
      <c r="E20" s="86" t="s">
        <v>2197</v>
      </c>
      <c r="F20" s="89"/>
      <c r="G20" s="89" t="s">
        <v>22</v>
      </c>
      <c r="H20" s="86" t="s">
        <v>31</v>
      </c>
      <c r="I20" s="86" t="s">
        <v>203</v>
      </c>
      <c r="J20" s="86" t="s">
        <v>25</v>
      </c>
      <c r="K20" s="236"/>
      <c r="L20" s="89"/>
      <c r="M20" s="86"/>
    </row>
    <row r="21">
      <c r="A21" s="86"/>
      <c r="B21" s="143">
        <v>45994.0</v>
      </c>
      <c r="C21" s="86" t="s">
        <v>149</v>
      </c>
      <c r="D21" s="89"/>
      <c r="E21" s="86" t="s">
        <v>2198</v>
      </c>
      <c r="F21" s="89"/>
      <c r="G21" s="89" t="s">
        <v>22</v>
      </c>
      <c r="H21" s="86" t="s">
        <v>215</v>
      </c>
      <c r="I21" s="86" t="s">
        <v>144</v>
      </c>
      <c r="J21" s="86" t="s">
        <v>130</v>
      </c>
      <c r="K21" s="236"/>
      <c r="L21" s="89"/>
      <c r="M21" s="86"/>
    </row>
    <row r="22">
      <c r="A22" s="86"/>
      <c r="B22" s="143">
        <v>45996.0</v>
      </c>
      <c r="C22" s="86" t="s">
        <v>65</v>
      </c>
      <c r="D22" s="89"/>
      <c r="E22" s="86" t="s">
        <v>2199</v>
      </c>
      <c r="F22" s="89"/>
      <c r="G22" s="89" t="s">
        <v>22</v>
      </c>
      <c r="H22" s="86" t="s">
        <v>491</v>
      </c>
      <c r="I22" s="86" t="s">
        <v>2077</v>
      </c>
      <c r="J22" s="86" t="s">
        <v>48</v>
      </c>
      <c r="K22" s="298"/>
      <c r="L22" s="89"/>
      <c r="M22" s="86"/>
    </row>
    <row r="23">
      <c r="A23" s="86"/>
      <c r="B23" s="143">
        <v>45996.0</v>
      </c>
      <c r="C23" s="86" t="s">
        <v>2134</v>
      </c>
      <c r="D23" s="89"/>
      <c r="E23" s="86" t="s">
        <v>2200</v>
      </c>
      <c r="F23" s="89"/>
      <c r="G23" s="89" t="s">
        <v>27</v>
      </c>
      <c r="H23" s="86" t="s">
        <v>199</v>
      </c>
      <c r="I23" s="86" t="s">
        <v>2201</v>
      </c>
      <c r="J23" s="86" t="s">
        <v>33</v>
      </c>
      <c r="K23" s="299"/>
      <c r="L23" s="89"/>
      <c r="M23" s="86"/>
    </row>
    <row r="24">
      <c r="A24" s="86"/>
      <c r="B24" s="279">
        <v>46015.0</v>
      </c>
      <c r="C24" s="86" t="s">
        <v>149</v>
      </c>
      <c r="D24" s="89"/>
      <c r="E24" s="86" t="s">
        <v>371</v>
      </c>
      <c r="F24" s="89"/>
      <c r="G24" s="89" t="s">
        <v>22</v>
      </c>
      <c r="H24" s="86" t="s">
        <v>156</v>
      </c>
      <c r="I24" s="86"/>
      <c r="J24" s="86" t="s">
        <v>24</v>
      </c>
      <c r="K24" s="86"/>
      <c r="L24" s="86"/>
      <c r="M24" s="86"/>
    </row>
    <row r="25">
      <c r="A25" s="86"/>
      <c r="B25" s="87">
        <v>46022.0</v>
      </c>
      <c r="C25" s="86" t="s">
        <v>570</v>
      </c>
      <c r="D25" s="89"/>
      <c r="E25" s="86" t="s">
        <v>2202</v>
      </c>
      <c r="F25" s="89"/>
      <c r="G25" s="89" t="s">
        <v>22</v>
      </c>
      <c r="H25" s="86" t="s">
        <v>135</v>
      </c>
      <c r="I25" s="86" t="s">
        <v>356</v>
      </c>
      <c r="J25" s="86" t="s">
        <v>24</v>
      </c>
      <c r="K25" s="86"/>
      <c r="L25" s="86"/>
      <c r="M25" s="86" t="s">
        <v>2203</v>
      </c>
    </row>
    <row r="26">
      <c r="A26" s="86"/>
      <c r="B26" s="104">
        <v>46044.0</v>
      </c>
      <c r="C26" s="86" t="s">
        <v>827</v>
      </c>
      <c r="D26" s="89"/>
      <c r="E26" s="86" t="s">
        <v>1315</v>
      </c>
      <c r="F26" s="89"/>
      <c r="G26" s="89" t="s">
        <v>118</v>
      </c>
      <c r="H26" s="86" t="s">
        <v>50</v>
      </c>
      <c r="I26" s="86" t="s">
        <v>2204</v>
      </c>
      <c r="J26" s="86" t="s">
        <v>36</v>
      </c>
      <c r="K26" s="86"/>
      <c r="L26" s="86"/>
      <c r="M26" s="86"/>
    </row>
    <row r="27">
      <c r="A27" s="86"/>
      <c r="B27" s="87">
        <v>46066.0</v>
      </c>
      <c r="C27" s="86" t="s">
        <v>65</v>
      </c>
      <c r="D27" s="89"/>
      <c r="E27" s="86" t="s">
        <v>2205</v>
      </c>
      <c r="F27" s="89"/>
      <c r="G27" s="89" t="s">
        <v>22</v>
      </c>
      <c r="H27" s="86" t="s">
        <v>88</v>
      </c>
      <c r="I27" s="86" t="s">
        <v>2206</v>
      </c>
      <c r="J27" s="86" t="s">
        <v>25</v>
      </c>
      <c r="K27" s="86"/>
      <c r="L27" s="86"/>
      <c r="M27" s="86"/>
    </row>
    <row r="28">
      <c r="A28" s="86"/>
      <c r="B28" s="87">
        <v>46073.0</v>
      </c>
      <c r="C28" s="86" t="s">
        <v>465</v>
      </c>
      <c r="D28" s="89"/>
      <c r="E28" s="86" t="s">
        <v>2207</v>
      </c>
      <c r="F28" s="89" t="s">
        <v>2208</v>
      </c>
      <c r="G28" s="89" t="s">
        <v>22</v>
      </c>
      <c r="H28" s="86" t="s">
        <v>353</v>
      </c>
      <c r="I28" s="86" t="s">
        <v>2209</v>
      </c>
      <c r="J28" s="86" t="s">
        <v>33</v>
      </c>
      <c r="K28" s="86"/>
      <c r="L28" s="86"/>
      <c r="M28" s="86"/>
    </row>
    <row r="29">
      <c r="A29" s="86"/>
      <c r="B29" s="87">
        <v>46078.0</v>
      </c>
      <c r="C29" s="86" t="s">
        <v>2210</v>
      </c>
      <c r="D29" s="89"/>
      <c r="E29" s="86" t="s">
        <v>321</v>
      </c>
      <c r="F29" s="89"/>
      <c r="G29" s="89" t="s">
        <v>22</v>
      </c>
      <c r="H29" s="86" t="s">
        <v>156</v>
      </c>
      <c r="I29" s="86" t="s">
        <v>2211</v>
      </c>
      <c r="J29" s="86" t="s">
        <v>24</v>
      </c>
      <c r="K29" s="86"/>
      <c r="L29" s="86"/>
      <c r="M29" s="86"/>
    </row>
    <row r="30">
      <c r="A30" s="86"/>
      <c r="B30" s="134">
        <v>46083.0</v>
      </c>
      <c r="C30" s="86" t="s">
        <v>75</v>
      </c>
      <c r="D30" s="89"/>
      <c r="E30" s="86" t="s">
        <v>2212</v>
      </c>
      <c r="F30" s="89"/>
      <c r="G30" s="89" t="s">
        <v>22</v>
      </c>
      <c r="H30" s="86" t="s">
        <v>199</v>
      </c>
      <c r="I30" s="86" t="s">
        <v>148</v>
      </c>
      <c r="J30" s="86" t="s">
        <v>36</v>
      </c>
      <c r="K30" s="86"/>
      <c r="L30" s="86"/>
      <c r="M30" s="86"/>
    </row>
    <row r="31">
      <c r="A31" s="86"/>
      <c r="B31" s="134">
        <v>46084.0</v>
      </c>
      <c r="C31" s="86" t="s">
        <v>40</v>
      </c>
      <c r="D31" s="89"/>
      <c r="E31" s="86" t="s">
        <v>2213</v>
      </c>
      <c r="F31" s="89"/>
      <c r="G31" s="89" t="s">
        <v>22</v>
      </c>
      <c r="H31" s="86" t="s">
        <v>42</v>
      </c>
      <c r="I31" s="86" t="s">
        <v>43</v>
      </c>
      <c r="J31" s="86" t="s">
        <v>33</v>
      </c>
      <c r="K31" s="86"/>
      <c r="L31" s="86"/>
      <c r="M31" s="86"/>
    </row>
    <row r="32">
      <c r="A32" s="86"/>
      <c r="B32" s="134">
        <v>46084.0</v>
      </c>
      <c r="C32" s="86" t="s">
        <v>40</v>
      </c>
      <c r="D32" s="89"/>
      <c r="E32" s="86" t="s">
        <v>2214</v>
      </c>
      <c r="F32" s="89"/>
      <c r="G32" s="89" t="s">
        <v>22</v>
      </c>
      <c r="H32" s="86" t="s">
        <v>199</v>
      </c>
      <c r="I32" s="86" t="s">
        <v>43</v>
      </c>
      <c r="J32" s="86" t="s">
        <v>33</v>
      </c>
      <c r="K32" s="86"/>
      <c r="L32" s="86"/>
      <c r="M32" s="86"/>
    </row>
    <row r="33">
      <c r="A33" s="86"/>
      <c r="B33" s="143">
        <v>46086.0</v>
      </c>
      <c r="C33" s="86" t="s">
        <v>75</v>
      </c>
      <c r="D33" s="89"/>
      <c r="E33" s="86" t="s">
        <v>2215</v>
      </c>
      <c r="F33" s="89"/>
      <c r="G33" s="89" t="s">
        <v>2216</v>
      </c>
      <c r="H33" s="86" t="s">
        <v>46</v>
      </c>
      <c r="I33" s="86" t="s">
        <v>2217</v>
      </c>
      <c r="J33" s="86" t="s">
        <v>36</v>
      </c>
      <c r="K33" s="86"/>
      <c r="L33" s="86"/>
      <c r="M33" s="86"/>
    </row>
    <row r="34">
      <c r="B34" s="48"/>
      <c r="D34" s="25"/>
      <c r="F34" s="25"/>
      <c r="G34" s="25"/>
      <c r="J34" s="26"/>
      <c r="K34" s="25"/>
    </row>
    <row r="35">
      <c r="B35" s="48"/>
      <c r="D35" s="25"/>
      <c r="F35" s="25"/>
      <c r="G35" s="25"/>
      <c r="J35" s="26"/>
    </row>
    <row r="36">
      <c r="B36" s="48"/>
      <c r="D36" s="25"/>
      <c r="F36" s="25"/>
      <c r="G36" s="25"/>
      <c r="J36" s="26"/>
    </row>
    <row r="37">
      <c r="B37" s="48"/>
      <c r="D37" s="25"/>
      <c r="F37" s="25"/>
      <c r="G37" s="25"/>
      <c r="J37" s="26"/>
    </row>
    <row r="38">
      <c r="B38" s="48"/>
      <c r="D38" s="25"/>
      <c r="F38" s="25"/>
      <c r="G38" s="25"/>
      <c r="J38" s="26"/>
    </row>
    <row r="39">
      <c r="B39" s="48"/>
      <c r="D39" s="25"/>
      <c r="F39" s="25"/>
      <c r="G39" s="25"/>
      <c r="J39" s="26"/>
    </row>
    <row r="40">
      <c r="B40" s="48"/>
      <c r="D40" s="25"/>
      <c r="F40" s="25"/>
      <c r="G40" s="25"/>
      <c r="J40" s="26"/>
    </row>
    <row r="41">
      <c r="B41" s="48"/>
      <c r="D41" s="25"/>
      <c r="F41" s="25"/>
      <c r="G41" s="25"/>
      <c r="J41" s="26"/>
    </row>
    <row r="42">
      <c r="B42" s="48"/>
      <c r="D42" s="25"/>
      <c r="F42" s="25"/>
      <c r="G42" s="25"/>
      <c r="J42" s="26"/>
    </row>
    <row r="43">
      <c r="B43" s="48"/>
      <c r="D43" s="25"/>
      <c r="F43" s="25"/>
      <c r="G43" s="25"/>
      <c r="J43" s="26"/>
    </row>
    <row r="44">
      <c r="B44" s="48"/>
      <c r="D44" s="25"/>
      <c r="F44" s="25"/>
      <c r="G44" s="25"/>
      <c r="J44" s="26"/>
    </row>
    <row r="45">
      <c r="B45" s="48"/>
      <c r="D45" s="25"/>
      <c r="F45" s="25"/>
      <c r="G45" s="25"/>
      <c r="J45" s="26"/>
    </row>
    <row r="46">
      <c r="B46" s="48"/>
      <c r="D46" s="25"/>
      <c r="F46" s="25"/>
      <c r="G46" s="25"/>
      <c r="J46" s="26"/>
    </row>
    <row r="47">
      <c r="B47" s="48"/>
      <c r="D47" s="25"/>
      <c r="F47" s="25"/>
      <c r="G47" s="25"/>
      <c r="J47" s="26"/>
    </row>
    <row r="48">
      <c r="B48" s="48"/>
      <c r="D48" s="25"/>
      <c r="F48" s="25"/>
      <c r="G48" s="25"/>
      <c r="J48" s="26"/>
    </row>
    <row r="49">
      <c r="B49" s="48"/>
      <c r="D49" s="25"/>
      <c r="F49" s="25"/>
      <c r="G49" s="25"/>
      <c r="J49" s="26"/>
    </row>
    <row r="50">
      <c r="B50" s="48"/>
      <c r="D50" s="25"/>
      <c r="F50" s="25"/>
      <c r="G50" s="25"/>
      <c r="J50" s="26"/>
    </row>
    <row r="51">
      <c r="B51" s="48"/>
      <c r="D51" s="25"/>
      <c r="F51" s="25"/>
      <c r="G51" s="25"/>
      <c r="J51" s="26"/>
    </row>
    <row r="52">
      <c r="B52" s="48"/>
      <c r="D52" s="25"/>
      <c r="F52" s="25"/>
      <c r="G52" s="25"/>
      <c r="J52" s="26"/>
    </row>
    <row r="53">
      <c r="B53" s="48"/>
      <c r="D53" s="25"/>
      <c r="F53" s="25"/>
      <c r="G53" s="25"/>
      <c r="J53" s="26"/>
    </row>
    <row r="54">
      <c r="B54" s="48"/>
      <c r="D54" s="25"/>
      <c r="F54" s="25"/>
      <c r="G54" s="25"/>
      <c r="J54" s="26"/>
    </row>
    <row r="55">
      <c r="B55" s="48"/>
      <c r="D55" s="25"/>
      <c r="F55" s="25"/>
      <c r="G55" s="25"/>
      <c r="J55" s="26"/>
    </row>
    <row r="56">
      <c r="B56" s="48"/>
      <c r="D56" s="25"/>
      <c r="F56" s="25"/>
      <c r="G56" s="25"/>
      <c r="J56" s="26"/>
    </row>
    <row r="57">
      <c r="B57" s="48"/>
      <c r="D57" s="25"/>
      <c r="F57" s="25"/>
      <c r="G57" s="25"/>
      <c r="J57" s="26"/>
    </row>
    <row r="58">
      <c r="B58" s="48"/>
      <c r="D58" s="25"/>
      <c r="F58" s="25"/>
      <c r="G58" s="25"/>
      <c r="J58" s="26"/>
    </row>
    <row r="59">
      <c r="B59" s="48"/>
      <c r="D59" s="25"/>
      <c r="F59" s="25"/>
      <c r="G59" s="25"/>
      <c r="J59" s="26"/>
    </row>
    <row r="60">
      <c r="B60" s="48"/>
      <c r="D60" s="25"/>
      <c r="F60" s="25"/>
      <c r="G60" s="25"/>
      <c r="J60" s="26"/>
    </row>
    <row r="61">
      <c r="B61" s="48"/>
      <c r="D61" s="25"/>
      <c r="F61" s="25"/>
      <c r="G61" s="25"/>
      <c r="J61" s="26"/>
    </row>
    <row r="62">
      <c r="B62" s="48"/>
      <c r="D62" s="25"/>
      <c r="F62" s="25"/>
      <c r="G62" s="25"/>
      <c r="J62" s="26"/>
    </row>
    <row r="63">
      <c r="B63" s="48"/>
      <c r="D63" s="25"/>
      <c r="F63" s="25"/>
      <c r="G63" s="25"/>
      <c r="J63" s="26"/>
    </row>
    <row r="64">
      <c r="B64" s="48"/>
      <c r="D64" s="25"/>
      <c r="F64" s="25"/>
      <c r="G64" s="25"/>
    </row>
    <row r="65">
      <c r="B65" s="48"/>
      <c r="D65" s="25"/>
      <c r="F65" s="25"/>
      <c r="G65" s="25"/>
    </row>
    <row r="66">
      <c r="B66" s="48"/>
      <c r="D66" s="25"/>
      <c r="F66" s="25"/>
      <c r="G66" s="25"/>
    </row>
    <row r="67">
      <c r="B67" s="48"/>
      <c r="D67" s="25"/>
      <c r="F67" s="25"/>
      <c r="G67" s="25"/>
    </row>
    <row r="68">
      <c r="B68" s="48"/>
      <c r="D68" s="25"/>
      <c r="F68" s="25"/>
      <c r="G68" s="25"/>
    </row>
    <row r="69">
      <c r="B69" s="48"/>
      <c r="D69" s="25"/>
      <c r="F69" s="25"/>
      <c r="G69" s="25"/>
    </row>
    <row r="70">
      <c r="B70" s="48"/>
      <c r="D70" s="25"/>
      <c r="F70" s="25"/>
      <c r="G70" s="25"/>
    </row>
    <row r="71">
      <c r="B71" s="48"/>
      <c r="D71" s="25"/>
      <c r="F71" s="25"/>
      <c r="G71" s="25"/>
    </row>
    <row r="72">
      <c r="B72" s="48"/>
      <c r="D72" s="25"/>
      <c r="F72" s="25"/>
      <c r="G72" s="25"/>
    </row>
    <row r="73">
      <c r="B73" s="48"/>
      <c r="D73" s="25"/>
      <c r="F73" s="25"/>
      <c r="G73" s="25"/>
    </row>
    <row r="74">
      <c r="B74" s="48"/>
      <c r="D74" s="25"/>
      <c r="F74" s="25"/>
      <c r="G74" s="25"/>
    </row>
    <row r="75">
      <c r="B75" s="48"/>
      <c r="D75" s="25"/>
      <c r="F75" s="25"/>
      <c r="G75" s="25"/>
    </row>
    <row r="76">
      <c r="B76" s="48"/>
      <c r="D76" s="25"/>
      <c r="F76" s="25"/>
      <c r="G76" s="25"/>
    </row>
    <row r="77">
      <c r="B77" s="48"/>
      <c r="D77" s="25"/>
      <c r="F77" s="25"/>
      <c r="G77" s="25"/>
    </row>
    <row r="78">
      <c r="B78" s="48"/>
      <c r="D78" s="25"/>
      <c r="F78" s="25"/>
      <c r="G78" s="25"/>
    </row>
    <row r="79">
      <c r="B79" s="48"/>
      <c r="D79" s="25"/>
      <c r="F79" s="25"/>
      <c r="G79" s="25"/>
    </row>
    <row r="80">
      <c r="B80" s="48"/>
      <c r="D80" s="25"/>
      <c r="F80" s="25"/>
      <c r="G80" s="25"/>
    </row>
    <row r="81">
      <c r="B81" s="48"/>
      <c r="D81" s="25"/>
      <c r="F81" s="25"/>
      <c r="G81" s="25"/>
    </row>
    <row r="82">
      <c r="B82" s="48"/>
      <c r="D82" s="25"/>
      <c r="F82" s="25"/>
      <c r="G82" s="25"/>
    </row>
    <row r="83">
      <c r="B83" s="48"/>
      <c r="D83" s="25"/>
      <c r="F83" s="25"/>
      <c r="G83" s="25"/>
    </row>
    <row r="84">
      <c r="B84" s="48"/>
      <c r="D84" s="25"/>
      <c r="F84" s="25"/>
      <c r="G84" s="25"/>
    </row>
    <row r="85">
      <c r="B85" s="48"/>
      <c r="D85" s="25"/>
      <c r="F85" s="25"/>
      <c r="G85" s="25"/>
    </row>
    <row r="86">
      <c r="B86" s="48"/>
      <c r="D86" s="25"/>
      <c r="F86" s="25"/>
      <c r="G86" s="25"/>
    </row>
    <row r="87">
      <c r="B87" s="48"/>
      <c r="D87" s="25"/>
      <c r="F87" s="25"/>
      <c r="G87" s="25"/>
    </row>
    <row r="88">
      <c r="B88" s="48"/>
      <c r="D88" s="25"/>
      <c r="F88" s="25"/>
      <c r="G88" s="25"/>
    </row>
    <row r="89">
      <c r="B89" s="48"/>
      <c r="D89" s="25"/>
      <c r="F89" s="25"/>
      <c r="G89" s="25"/>
    </row>
    <row r="90">
      <c r="B90" s="48"/>
      <c r="D90" s="25"/>
      <c r="F90" s="25"/>
      <c r="G90" s="25"/>
    </row>
    <row r="91">
      <c r="B91" s="48"/>
      <c r="D91" s="25"/>
      <c r="F91" s="25"/>
      <c r="G91" s="25"/>
    </row>
    <row r="92">
      <c r="B92" s="48"/>
      <c r="D92" s="25"/>
      <c r="F92" s="25"/>
      <c r="G92" s="25"/>
    </row>
    <row r="93">
      <c r="B93" s="48"/>
      <c r="D93" s="25"/>
      <c r="F93" s="25"/>
      <c r="G93" s="25"/>
    </row>
    <row r="94">
      <c r="B94" s="48"/>
      <c r="D94" s="25"/>
      <c r="F94" s="25"/>
      <c r="G94" s="25"/>
    </row>
    <row r="95">
      <c r="B95" s="48"/>
      <c r="D95" s="25"/>
      <c r="F95" s="25"/>
      <c r="G95" s="25"/>
    </row>
    <row r="96">
      <c r="B96" s="48"/>
      <c r="D96" s="25"/>
      <c r="F96" s="25"/>
      <c r="G96" s="25"/>
    </row>
    <row r="97">
      <c r="B97" s="48"/>
      <c r="D97" s="25"/>
      <c r="F97" s="25"/>
      <c r="G97" s="25"/>
    </row>
    <row r="98">
      <c r="B98" s="48"/>
      <c r="D98" s="25"/>
      <c r="F98" s="25"/>
      <c r="G98" s="25"/>
    </row>
    <row r="99">
      <c r="B99" s="48"/>
      <c r="D99" s="25"/>
      <c r="F99" s="25"/>
      <c r="G99" s="25"/>
    </row>
    <row r="100">
      <c r="B100" s="48"/>
      <c r="D100" s="25"/>
      <c r="F100" s="25"/>
      <c r="G100" s="25"/>
    </row>
    <row r="101">
      <c r="B101" s="48"/>
      <c r="D101" s="25"/>
      <c r="F101" s="25"/>
      <c r="G101" s="25"/>
    </row>
    <row r="102">
      <c r="B102" s="48"/>
      <c r="D102" s="25"/>
      <c r="F102" s="25"/>
      <c r="G102" s="25"/>
    </row>
    <row r="103">
      <c r="B103" s="48"/>
      <c r="D103" s="25"/>
      <c r="F103" s="25"/>
      <c r="G103" s="25"/>
    </row>
    <row r="104">
      <c r="B104" s="48"/>
      <c r="D104" s="25"/>
      <c r="F104" s="25"/>
      <c r="G104" s="25"/>
    </row>
    <row r="105">
      <c r="B105" s="48"/>
      <c r="D105" s="25"/>
      <c r="F105" s="25"/>
      <c r="G105" s="25"/>
    </row>
    <row r="106">
      <c r="B106" s="48"/>
      <c r="D106" s="25"/>
      <c r="F106" s="25"/>
      <c r="G106" s="25"/>
    </row>
    <row r="107">
      <c r="B107" s="48"/>
      <c r="D107" s="25"/>
      <c r="F107" s="25"/>
      <c r="G107" s="25"/>
    </row>
    <row r="108">
      <c r="B108" s="48"/>
      <c r="D108" s="25"/>
      <c r="F108" s="25"/>
      <c r="G108" s="25"/>
    </row>
    <row r="109">
      <c r="B109" s="48"/>
      <c r="D109" s="25"/>
      <c r="F109" s="25"/>
      <c r="G109" s="25"/>
    </row>
    <row r="110">
      <c r="B110" s="48"/>
      <c r="D110" s="25"/>
      <c r="F110" s="25"/>
      <c r="G110" s="25"/>
    </row>
    <row r="111">
      <c r="B111" s="48"/>
      <c r="D111" s="25"/>
      <c r="F111" s="25"/>
      <c r="G111" s="25"/>
    </row>
    <row r="112">
      <c r="B112" s="48"/>
      <c r="D112" s="25"/>
      <c r="F112" s="25"/>
      <c r="G112" s="25"/>
    </row>
    <row r="113">
      <c r="B113" s="48"/>
      <c r="D113" s="25"/>
      <c r="F113" s="25"/>
      <c r="G113" s="25"/>
    </row>
    <row r="114">
      <c r="B114" s="48"/>
      <c r="D114" s="25"/>
      <c r="F114" s="25"/>
      <c r="G114" s="25"/>
    </row>
    <row r="115">
      <c r="B115" s="48"/>
      <c r="D115" s="25"/>
      <c r="F115" s="25"/>
      <c r="G115" s="25"/>
    </row>
    <row r="116">
      <c r="B116" s="48"/>
      <c r="D116" s="25"/>
      <c r="F116" s="25"/>
      <c r="G116" s="25"/>
    </row>
    <row r="117">
      <c r="B117" s="48"/>
      <c r="D117" s="25"/>
      <c r="F117" s="25"/>
      <c r="G117" s="25"/>
    </row>
    <row r="118">
      <c r="B118" s="48"/>
      <c r="D118" s="25"/>
      <c r="F118" s="25"/>
      <c r="G118" s="25"/>
    </row>
    <row r="119">
      <c r="B119" s="48"/>
      <c r="D119" s="25"/>
      <c r="F119" s="25"/>
      <c r="G119" s="25"/>
    </row>
    <row r="120">
      <c r="B120" s="48"/>
      <c r="D120" s="25"/>
      <c r="F120" s="25"/>
      <c r="G120" s="25"/>
    </row>
    <row r="121">
      <c r="B121" s="48"/>
      <c r="D121" s="25"/>
      <c r="F121" s="25"/>
      <c r="G121" s="25"/>
    </row>
    <row r="122">
      <c r="B122" s="48"/>
      <c r="D122" s="25"/>
      <c r="F122" s="25"/>
      <c r="G122" s="25"/>
    </row>
    <row r="123">
      <c r="B123" s="48"/>
      <c r="D123" s="25"/>
      <c r="F123" s="25"/>
      <c r="G123" s="25"/>
    </row>
    <row r="124">
      <c r="B124" s="48"/>
      <c r="D124" s="25"/>
      <c r="F124" s="25"/>
      <c r="G124" s="25"/>
    </row>
    <row r="125">
      <c r="B125" s="48"/>
      <c r="D125" s="25"/>
      <c r="F125" s="25"/>
      <c r="G125" s="25"/>
    </row>
    <row r="126">
      <c r="B126" s="48"/>
      <c r="D126" s="25"/>
      <c r="F126" s="25"/>
      <c r="G126" s="25"/>
    </row>
    <row r="127">
      <c r="B127" s="48"/>
      <c r="D127" s="25"/>
      <c r="F127" s="25"/>
      <c r="G127" s="25"/>
    </row>
    <row r="128">
      <c r="B128" s="48"/>
      <c r="D128" s="25"/>
      <c r="F128" s="25"/>
      <c r="G128" s="25"/>
    </row>
    <row r="129">
      <c r="B129" s="48"/>
      <c r="D129" s="25"/>
      <c r="F129" s="25"/>
      <c r="G129" s="25"/>
    </row>
    <row r="130">
      <c r="B130" s="48"/>
      <c r="D130" s="25"/>
      <c r="F130" s="25"/>
      <c r="G130" s="25"/>
    </row>
    <row r="131">
      <c r="B131" s="48"/>
      <c r="D131" s="25"/>
      <c r="F131" s="25"/>
      <c r="G131" s="25"/>
    </row>
    <row r="132">
      <c r="B132" s="48"/>
      <c r="D132" s="25"/>
      <c r="F132" s="25"/>
      <c r="G132" s="25"/>
    </row>
    <row r="133">
      <c r="B133" s="48"/>
      <c r="D133" s="25"/>
      <c r="F133" s="25"/>
      <c r="G133" s="25"/>
    </row>
    <row r="134">
      <c r="B134" s="48"/>
      <c r="D134" s="25"/>
      <c r="F134" s="25"/>
      <c r="G134" s="25"/>
    </row>
    <row r="135">
      <c r="B135" s="48"/>
      <c r="D135" s="25"/>
      <c r="F135" s="25"/>
      <c r="G135" s="25"/>
    </row>
    <row r="136">
      <c r="B136" s="48"/>
      <c r="D136" s="25"/>
      <c r="F136" s="25"/>
      <c r="G136" s="25"/>
    </row>
    <row r="137">
      <c r="B137" s="48"/>
      <c r="D137" s="25"/>
      <c r="F137" s="25"/>
      <c r="G137" s="25"/>
    </row>
    <row r="138">
      <c r="B138" s="48"/>
      <c r="D138" s="25"/>
      <c r="F138" s="25"/>
      <c r="G138" s="25"/>
    </row>
    <row r="139">
      <c r="B139" s="48"/>
      <c r="D139" s="25"/>
      <c r="F139" s="25"/>
      <c r="G139" s="25"/>
    </row>
    <row r="140">
      <c r="B140" s="48"/>
      <c r="D140" s="25"/>
      <c r="F140" s="25"/>
      <c r="G140" s="25"/>
    </row>
    <row r="141">
      <c r="B141" s="48"/>
      <c r="D141" s="25"/>
      <c r="F141" s="25"/>
      <c r="G141" s="25"/>
    </row>
    <row r="142">
      <c r="B142" s="48"/>
      <c r="D142" s="25"/>
      <c r="F142" s="25"/>
      <c r="G142" s="25"/>
    </row>
    <row r="143">
      <c r="B143" s="48"/>
      <c r="D143" s="25"/>
      <c r="F143" s="25"/>
      <c r="G143" s="25"/>
    </row>
    <row r="144">
      <c r="B144" s="48"/>
      <c r="D144" s="25"/>
      <c r="F144" s="25"/>
      <c r="G144" s="25"/>
    </row>
    <row r="145">
      <c r="B145" s="48"/>
      <c r="D145" s="25"/>
      <c r="F145" s="25"/>
      <c r="G145" s="25"/>
    </row>
    <row r="146">
      <c r="B146" s="48"/>
      <c r="D146" s="25"/>
      <c r="F146" s="25"/>
      <c r="G146" s="25"/>
    </row>
    <row r="147">
      <c r="B147" s="48"/>
      <c r="D147" s="25"/>
      <c r="F147" s="25"/>
      <c r="G147" s="25"/>
    </row>
    <row r="148">
      <c r="B148" s="48"/>
      <c r="D148" s="25"/>
      <c r="F148" s="25"/>
      <c r="G148" s="25"/>
    </row>
    <row r="149">
      <c r="B149" s="48"/>
      <c r="D149" s="25"/>
      <c r="F149" s="25"/>
      <c r="G149" s="25"/>
    </row>
    <row r="150">
      <c r="B150" s="48"/>
      <c r="D150" s="25"/>
      <c r="F150" s="25"/>
      <c r="G150" s="25"/>
    </row>
    <row r="151">
      <c r="B151" s="48"/>
      <c r="D151" s="25"/>
      <c r="F151" s="25"/>
      <c r="G151" s="25"/>
    </row>
    <row r="152">
      <c r="B152" s="48"/>
      <c r="D152" s="25"/>
      <c r="F152" s="25"/>
      <c r="G152" s="25"/>
    </row>
    <row r="153">
      <c r="B153" s="48"/>
      <c r="D153" s="25"/>
      <c r="F153" s="25"/>
      <c r="G153" s="25"/>
    </row>
    <row r="154">
      <c r="B154" s="48"/>
      <c r="D154" s="25"/>
      <c r="F154" s="25"/>
      <c r="G154" s="25"/>
    </row>
    <row r="155">
      <c r="B155" s="48"/>
      <c r="D155" s="25"/>
      <c r="F155" s="25"/>
      <c r="G155" s="25"/>
    </row>
    <row r="156">
      <c r="B156" s="48"/>
      <c r="D156" s="25"/>
      <c r="F156" s="25"/>
      <c r="G156" s="25"/>
    </row>
    <row r="157">
      <c r="B157" s="48"/>
      <c r="D157" s="25"/>
      <c r="F157" s="25"/>
      <c r="G157" s="25"/>
    </row>
    <row r="158">
      <c r="B158" s="48"/>
      <c r="D158" s="25"/>
      <c r="F158" s="25"/>
      <c r="G158" s="25"/>
    </row>
    <row r="159">
      <c r="B159" s="48"/>
      <c r="D159" s="25"/>
      <c r="F159" s="25"/>
      <c r="G159" s="25"/>
    </row>
    <row r="160">
      <c r="B160" s="48"/>
      <c r="D160" s="25"/>
      <c r="F160" s="25"/>
      <c r="G160" s="25"/>
    </row>
    <row r="161">
      <c r="B161" s="48"/>
      <c r="D161" s="25"/>
      <c r="F161" s="25"/>
      <c r="G161" s="25"/>
    </row>
    <row r="162">
      <c r="B162" s="48"/>
      <c r="D162" s="25"/>
      <c r="F162" s="25"/>
      <c r="G162" s="25"/>
    </row>
    <row r="163">
      <c r="B163" s="48"/>
      <c r="D163" s="25"/>
      <c r="F163" s="25"/>
      <c r="G163" s="25"/>
    </row>
    <row r="164">
      <c r="B164" s="48"/>
      <c r="D164" s="25"/>
      <c r="F164" s="25"/>
      <c r="G164" s="25"/>
    </row>
    <row r="165">
      <c r="B165" s="48"/>
      <c r="D165" s="25"/>
      <c r="F165" s="25"/>
      <c r="G165" s="25"/>
    </row>
    <row r="166">
      <c r="B166" s="48"/>
      <c r="D166" s="25"/>
      <c r="F166" s="25"/>
      <c r="G166" s="25"/>
    </row>
    <row r="167">
      <c r="B167" s="48"/>
      <c r="D167" s="25"/>
      <c r="F167" s="25"/>
      <c r="G167" s="25"/>
    </row>
    <row r="168">
      <c r="B168" s="48"/>
      <c r="D168" s="25"/>
      <c r="F168" s="25"/>
      <c r="G168" s="25"/>
    </row>
    <row r="169">
      <c r="B169" s="48"/>
      <c r="D169" s="25"/>
      <c r="F169" s="25"/>
      <c r="G169" s="25"/>
    </row>
    <row r="170">
      <c r="B170" s="48"/>
      <c r="D170" s="25"/>
      <c r="F170" s="25"/>
      <c r="G170" s="25"/>
    </row>
    <row r="171">
      <c r="B171" s="48"/>
      <c r="D171" s="25"/>
      <c r="F171" s="25"/>
      <c r="G171" s="25"/>
    </row>
    <row r="172">
      <c r="B172" s="48"/>
      <c r="D172" s="25"/>
      <c r="F172" s="25"/>
      <c r="G172" s="25"/>
    </row>
    <row r="173">
      <c r="B173" s="48"/>
      <c r="D173" s="25"/>
      <c r="F173" s="25"/>
      <c r="G173" s="25"/>
    </row>
    <row r="174">
      <c r="B174" s="48"/>
      <c r="D174" s="25"/>
      <c r="F174" s="25"/>
      <c r="G174" s="25"/>
    </row>
    <row r="175">
      <c r="B175" s="48"/>
      <c r="D175" s="25"/>
      <c r="F175" s="25"/>
      <c r="G175" s="25"/>
    </row>
    <row r="176">
      <c r="B176" s="48"/>
      <c r="D176" s="25"/>
      <c r="F176" s="25"/>
      <c r="G176" s="25"/>
    </row>
    <row r="177">
      <c r="B177" s="48"/>
      <c r="D177" s="25"/>
      <c r="F177" s="25"/>
      <c r="G177" s="25"/>
    </row>
    <row r="178">
      <c r="B178" s="48"/>
      <c r="D178" s="25"/>
      <c r="F178" s="25"/>
      <c r="G178" s="25"/>
    </row>
    <row r="179">
      <c r="B179" s="48"/>
      <c r="D179" s="25"/>
      <c r="F179" s="25"/>
      <c r="G179" s="25"/>
    </row>
    <row r="180">
      <c r="B180" s="48"/>
      <c r="D180" s="25"/>
      <c r="F180" s="25"/>
      <c r="G180" s="25"/>
    </row>
    <row r="181">
      <c r="B181" s="48"/>
      <c r="D181" s="25"/>
      <c r="F181" s="25"/>
      <c r="G181" s="25"/>
    </row>
    <row r="182">
      <c r="B182" s="48"/>
      <c r="D182" s="25"/>
      <c r="F182" s="25"/>
      <c r="G182" s="25"/>
    </row>
    <row r="183">
      <c r="B183" s="48"/>
      <c r="D183" s="25"/>
      <c r="F183" s="25"/>
      <c r="G183" s="25"/>
    </row>
    <row r="184">
      <c r="B184" s="48"/>
      <c r="D184" s="25"/>
      <c r="F184" s="25"/>
      <c r="G184" s="25"/>
    </row>
    <row r="185">
      <c r="B185" s="48"/>
      <c r="D185" s="25"/>
      <c r="F185" s="25"/>
      <c r="G185" s="25"/>
    </row>
    <row r="186">
      <c r="B186" s="48"/>
      <c r="D186" s="25"/>
      <c r="F186" s="25"/>
      <c r="G186" s="25"/>
    </row>
    <row r="187">
      <c r="B187" s="48"/>
      <c r="D187" s="25"/>
      <c r="F187" s="25"/>
      <c r="G187" s="25"/>
    </row>
    <row r="188">
      <c r="B188" s="48"/>
      <c r="D188" s="25"/>
      <c r="F188" s="25"/>
      <c r="G188" s="25"/>
    </row>
    <row r="189">
      <c r="B189" s="48"/>
      <c r="D189" s="25"/>
      <c r="F189" s="25"/>
      <c r="G189" s="25"/>
    </row>
    <row r="190">
      <c r="B190" s="48"/>
      <c r="D190" s="25"/>
      <c r="F190" s="25"/>
      <c r="G190" s="25"/>
    </row>
    <row r="191">
      <c r="B191" s="48"/>
      <c r="D191" s="25"/>
      <c r="F191" s="25"/>
      <c r="G191" s="25"/>
    </row>
    <row r="192">
      <c r="B192" s="48"/>
      <c r="D192" s="25"/>
      <c r="F192" s="25"/>
      <c r="G192" s="25"/>
    </row>
    <row r="193">
      <c r="B193" s="48"/>
      <c r="D193" s="25"/>
      <c r="F193" s="25"/>
      <c r="G193" s="25"/>
    </row>
    <row r="194">
      <c r="B194" s="48"/>
      <c r="D194" s="25"/>
      <c r="F194" s="25"/>
      <c r="G194" s="25"/>
    </row>
    <row r="195">
      <c r="B195" s="48"/>
      <c r="D195" s="25"/>
      <c r="F195" s="25"/>
      <c r="G195" s="25"/>
    </row>
    <row r="196">
      <c r="B196" s="48"/>
      <c r="D196" s="25"/>
      <c r="F196" s="25"/>
      <c r="G196" s="25"/>
    </row>
    <row r="197">
      <c r="B197" s="48"/>
      <c r="D197" s="25"/>
      <c r="F197" s="25"/>
      <c r="G197" s="25"/>
    </row>
    <row r="198">
      <c r="B198" s="48"/>
      <c r="D198" s="25"/>
      <c r="F198" s="25"/>
      <c r="G198" s="25"/>
    </row>
    <row r="199">
      <c r="B199" s="48"/>
      <c r="D199" s="25"/>
      <c r="F199" s="25"/>
      <c r="G199" s="25"/>
    </row>
    <row r="200">
      <c r="B200" s="48"/>
      <c r="D200" s="25"/>
      <c r="F200" s="25"/>
      <c r="G200" s="25"/>
    </row>
    <row r="201">
      <c r="B201" s="48"/>
      <c r="D201" s="25"/>
      <c r="F201" s="25"/>
      <c r="G201" s="25"/>
    </row>
    <row r="202">
      <c r="B202" s="48"/>
      <c r="D202" s="25"/>
      <c r="F202" s="25"/>
      <c r="G202" s="25"/>
    </row>
    <row r="203">
      <c r="B203" s="48"/>
      <c r="D203" s="25"/>
      <c r="F203" s="25"/>
      <c r="G203" s="25"/>
    </row>
    <row r="204">
      <c r="B204" s="48"/>
      <c r="D204" s="25"/>
      <c r="F204" s="25"/>
      <c r="G204" s="25"/>
    </row>
    <row r="205">
      <c r="B205" s="48"/>
      <c r="D205" s="25"/>
      <c r="F205" s="25"/>
      <c r="G205" s="25"/>
    </row>
    <row r="206">
      <c r="B206" s="48"/>
      <c r="D206" s="25"/>
      <c r="F206" s="25"/>
      <c r="G206" s="25"/>
    </row>
    <row r="207">
      <c r="B207" s="48"/>
      <c r="D207" s="25"/>
      <c r="F207" s="25"/>
      <c r="G207" s="25"/>
    </row>
    <row r="208">
      <c r="B208" s="48"/>
      <c r="D208" s="25"/>
      <c r="F208" s="25"/>
      <c r="G208" s="25"/>
    </row>
    <row r="209">
      <c r="B209" s="48"/>
      <c r="D209" s="25"/>
      <c r="F209" s="25"/>
      <c r="G209" s="25"/>
    </row>
    <row r="210">
      <c r="B210" s="48"/>
      <c r="D210" s="25"/>
      <c r="F210" s="25"/>
      <c r="G210" s="25"/>
    </row>
    <row r="211">
      <c r="B211" s="48"/>
      <c r="D211" s="25"/>
      <c r="F211" s="25"/>
      <c r="G211" s="25"/>
    </row>
    <row r="212">
      <c r="B212" s="48"/>
      <c r="D212" s="25"/>
      <c r="F212" s="25"/>
      <c r="G212" s="25"/>
    </row>
    <row r="213">
      <c r="B213" s="48"/>
      <c r="D213" s="25"/>
      <c r="F213" s="25"/>
      <c r="G213" s="25"/>
    </row>
    <row r="214">
      <c r="B214" s="48"/>
      <c r="D214" s="25"/>
      <c r="F214" s="25"/>
      <c r="G214" s="25"/>
    </row>
    <row r="215">
      <c r="B215" s="48"/>
      <c r="D215" s="25"/>
      <c r="F215" s="25"/>
      <c r="G215" s="25"/>
    </row>
    <row r="216">
      <c r="B216" s="48"/>
      <c r="D216" s="25"/>
      <c r="F216" s="25"/>
      <c r="G216" s="25"/>
    </row>
    <row r="217">
      <c r="B217" s="48"/>
      <c r="D217" s="25"/>
      <c r="F217" s="25"/>
      <c r="G217" s="25"/>
    </row>
    <row r="218">
      <c r="B218" s="48"/>
      <c r="D218" s="25"/>
      <c r="F218" s="25"/>
      <c r="G218" s="25"/>
    </row>
    <row r="219">
      <c r="B219" s="48"/>
      <c r="D219" s="25"/>
      <c r="F219" s="25"/>
      <c r="G219" s="25"/>
    </row>
    <row r="220">
      <c r="B220" s="48"/>
      <c r="D220" s="25"/>
      <c r="F220" s="25"/>
      <c r="G220" s="25"/>
    </row>
    <row r="221">
      <c r="B221" s="48"/>
      <c r="D221" s="25"/>
      <c r="F221" s="25"/>
      <c r="G221" s="25"/>
    </row>
    <row r="222">
      <c r="B222" s="48"/>
      <c r="D222" s="25"/>
      <c r="F222" s="25"/>
      <c r="G222" s="25"/>
    </row>
    <row r="223">
      <c r="B223" s="48"/>
      <c r="D223" s="25"/>
      <c r="F223" s="25"/>
      <c r="G223" s="25"/>
    </row>
    <row r="224">
      <c r="B224" s="48"/>
      <c r="D224" s="25"/>
      <c r="F224" s="25"/>
      <c r="G224" s="25"/>
    </row>
    <row r="225">
      <c r="B225" s="48"/>
      <c r="D225" s="25"/>
      <c r="F225" s="25"/>
      <c r="G225" s="25"/>
    </row>
    <row r="226">
      <c r="B226" s="48"/>
      <c r="D226" s="25"/>
      <c r="F226" s="25"/>
      <c r="G226" s="25"/>
    </row>
    <row r="227">
      <c r="B227" s="48"/>
      <c r="D227" s="25"/>
      <c r="F227" s="25"/>
      <c r="G227" s="25"/>
    </row>
    <row r="228">
      <c r="B228" s="48"/>
      <c r="D228" s="25"/>
      <c r="F228" s="25"/>
      <c r="G228" s="25"/>
    </row>
    <row r="229">
      <c r="B229" s="48"/>
      <c r="D229" s="25"/>
      <c r="F229" s="25"/>
      <c r="G229" s="25"/>
    </row>
    <row r="230">
      <c r="B230" s="48"/>
      <c r="D230" s="25"/>
      <c r="F230" s="25"/>
      <c r="G230" s="25"/>
    </row>
    <row r="231">
      <c r="B231" s="48"/>
      <c r="D231" s="25"/>
      <c r="F231" s="25"/>
      <c r="G231" s="25"/>
    </row>
    <row r="232">
      <c r="B232" s="48"/>
      <c r="D232" s="25"/>
      <c r="F232" s="25"/>
      <c r="G232" s="25"/>
    </row>
    <row r="233">
      <c r="B233" s="48"/>
      <c r="D233" s="25"/>
      <c r="F233" s="25"/>
      <c r="G233" s="25"/>
    </row>
    <row r="234">
      <c r="B234" s="48"/>
      <c r="D234" s="25"/>
      <c r="F234" s="25"/>
      <c r="G234" s="25"/>
    </row>
    <row r="235">
      <c r="B235" s="48"/>
      <c r="D235" s="25"/>
      <c r="F235" s="25"/>
      <c r="G235" s="25"/>
    </row>
    <row r="236">
      <c r="B236" s="48"/>
      <c r="D236" s="25"/>
      <c r="F236" s="25"/>
      <c r="G236" s="25"/>
    </row>
    <row r="237">
      <c r="B237" s="48"/>
      <c r="D237" s="25"/>
      <c r="F237" s="25"/>
      <c r="G237" s="25"/>
    </row>
    <row r="238">
      <c r="B238" s="48"/>
      <c r="D238" s="25"/>
      <c r="F238" s="25"/>
      <c r="G238" s="25"/>
    </row>
    <row r="239">
      <c r="B239" s="48"/>
      <c r="D239" s="25"/>
      <c r="F239" s="25"/>
      <c r="G239" s="25"/>
    </row>
    <row r="240">
      <c r="B240" s="48"/>
      <c r="D240" s="25"/>
      <c r="F240" s="25"/>
      <c r="G240" s="25"/>
    </row>
    <row r="241">
      <c r="B241" s="48"/>
      <c r="D241" s="25"/>
      <c r="F241" s="25"/>
      <c r="G241" s="25"/>
    </row>
    <row r="242">
      <c r="B242" s="48"/>
      <c r="D242" s="25"/>
      <c r="F242" s="25"/>
      <c r="G242" s="25"/>
    </row>
    <row r="243">
      <c r="B243" s="48"/>
      <c r="D243" s="25"/>
      <c r="F243" s="25"/>
      <c r="G243" s="25"/>
    </row>
    <row r="244">
      <c r="B244" s="48"/>
      <c r="D244" s="25"/>
      <c r="F244" s="25"/>
      <c r="G244" s="25"/>
    </row>
    <row r="245">
      <c r="B245" s="48"/>
      <c r="D245" s="25"/>
      <c r="F245" s="25"/>
      <c r="G245" s="25"/>
    </row>
    <row r="246">
      <c r="B246" s="48"/>
      <c r="D246" s="25"/>
      <c r="F246" s="25"/>
      <c r="G246" s="25"/>
    </row>
    <row r="247">
      <c r="B247" s="48"/>
      <c r="D247" s="25"/>
      <c r="F247" s="25"/>
      <c r="G247" s="25"/>
    </row>
    <row r="248">
      <c r="B248" s="48"/>
      <c r="D248" s="25"/>
      <c r="F248" s="25"/>
      <c r="G248" s="25"/>
    </row>
    <row r="249">
      <c r="B249" s="48"/>
      <c r="D249" s="25"/>
      <c r="F249" s="25"/>
      <c r="G249" s="25"/>
    </row>
    <row r="250">
      <c r="B250" s="48"/>
      <c r="D250" s="25"/>
      <c r="F250" s="25"/>
      <c r="G250" s="25"/>
    </row>
    <row r="251">
      <c r="B251" s="48"/>
      <c r="D251" s="25"/>
      <c r="F251" s="25"/>
      <c r="G251" s="25"/>
    </row>
    <row r="252">
      <c r="B252" s="48"/>
      <c r="D252" s="25"/>
      <c r="F252" s="25"/>
      <c r="G252" s="25"/>
    </row>
    <row r="253">
      <c r="B253" s="48"/>
      <c r="D253" s="25"/>
      <c r="F253" s="25"/>
      <c r="G253" s="25"/>
    </row>
    <row r="254">
      <c r="B254" s="48"/>
      <c r="D254" s="25"/>
      <c r="F254" s="25"/>
      <c r="G254" s="25"/>
    </row>
    <row r="255">
      <c r="B255" s="48"/>
      <c r="D255" s="25"/>
      <c r="F255" s="25"/>
      <c r="G255" s="25"/>
    </row>
    <row r="256">
      <c r="B256" s="48"/>
      <c r="D256" s="25"/>
      <c r="F256" s="25"/>
      <c r="G256" s="25"/>
    </row>
    <row r="257">
      <c r="B257" s="48"/>
      <c r="D257" s="25"/>
      <c r="F257" s="25"/>
      <c r="G257" s="25"/>
    </row>
    <row r="258">
      <c r="B258" s="48"/>
      <c r="D258" s="25"/>
      <c r="F258" s="25"/>
      <c r="G258" s="25"/>
    </row>
    <row r="259">
      <c r="B259" s="48"/>
      <c r="D259" s="25"/>
      <c r="F259" s="25"/>
      <c r="G259" s="25"/>
    </row>
    <row r="260">
      <c r="B260" s="48"/>
      <c r="D260" s="25"/>
      <c r="F260" s="25"/>
      <c r="G260" s="25"/>
    </row>
    <row r="261">
      <c r="B261" s="48"/>
      <c r="D261" s="25"/>
      <c r="F261" s="25"/>
      <c r="G261" s="25"/>
    </row>
    <row r="262">
      <c r="B262" s="48"/>
      <c r="D262" s="25"/>
      <c r="F262" s="25"/>
      <c r="G262" s="25"/>
    </row>
    <row r="263">
      <c r="B263" s="48"/>
      <c r="D263" s="25"/>
      <c r="F263" s="25"/>
      <c r="G263" s="25"/>
    </row>
    <row r="264">
      <c r="B264" s="48"/>
      <c r="D264" s="25"/>
      <c r="F264" s="25"/>
      <c r="G264" s="25"/>
    </row>
    <row r="265">
      <c r="B265" s="48"/>
      <c r="D265" s="25"/>
      <c r="F265" s="25"/>
      <c r="G265" s="25"/>
    </row>
    <row r="266">
      <c r="B266" s="48"/>
      <c r="D266" s="25"/>
      <c r="F266" s="25"/>
      <c r="G266" s="25"/>
    </row>
    <row r="267">
      <c r="B267" s="48"/>
      <c r="D267" s="25"/>
      <c r="F267" s="25"/>
      <c r="G267" s="25"/>
    </row>
    <row r="268">
      <c r="B268" s="48"/>
      <c r="D268" s="25"/>
      <c r="F268" s="25"/>
      <c r="G268" s="25"/>
    </row>
    <row r="269">
      <c r="B269" s="48"/>
      <c r="D269" s="25"/>
      <c r="F269" s="25"/>
      <c r="G269" s="25"/>
    </row>
    <row r="270">
      <c r="B270" s="48"/>
      <c r="D270" s="25"/>
      <c r="F270" s="25"/>
      <c r="G270" s="25"/>
    </row>
    <row r="271">
      <c r="B271" s="48"/>
      <c r="D271" s="25"/>
      <c r="F271" s="25"/>
      <c r="G271" s="25"/>
    </row>
    <row r="272">
      <c r="B272" s="48"/>
      <c r="D272" s="25"/>
      <c r="F272" s="25"/>
      <c r="G272" s="25"/>
    </row>
    <row r="273">
      <c r="B273" s="48"/>
      <c r="D273" s="25"/>
      <c r="F273" s="25"/>
      <c r="G273" s="25"/>
    </row>
    <row r="274">
      <c r="B274" s="48"/>
      <c r="D274" s="25"/>
      <c r="F274" s="25"/>
      <c r="G274" s="25"/>
    </row>
    <row r="275">
      <c r="B275" s="48"/>
      <c r="D275" s="25"/>
      <c r="F275" s="25"/>
      <c r="G275" s="25"/>
    </row>
    <row r="276">
      <c r="B276" s="48"/>
      <c r="D276" s="25"/>
      <c r="F276" s="25"/>
      <c r="G276" s="25"/>
    </row>
    <row r="277">
      <c r="B277" s="48"/>
      <c r="D277" s="25"/>
      <c r="F277" s="25"/>
      <c r="G277" s="25"/>
    </row>
    <row r="278">
      <c r="B278" s="48"/>
      <c r="D278" s="25"/>
      <c r="F278" s="25"/>
      <c r="G278" s="25"/>
    </row>
    <row r="279">
      <c r="B279" s="48"/>
      <c r="D279" s="25"/>
      <c r="F279" s="25"/>
      <c r="G279" s="25"/>
    </row>
    <row r="280">
      <c r="B280" s="48"/>
      <c r="D280" s="25"/>
      <c r="F280" s="25"/>
      <c r="G280" s="25"/>
    </row>
    <row r="281">
      <c r="B281" s="48"/>
      <c r="D281" s="25"/>
      <c r="F281" s="25"/>
      <c r="G281" s="25"/>
    </row>
    <row r="282">
      <c r="B282" s="48"/>
      <c r="D282" s="25"/>
      <c r="F282" s="25"/>
      <c r="G282" s="25"/>
    </row>
    <row r="283">
      <c r="B283" s="48"/>
      <c r="D283" s="25"/>
      <c r="F283" s="25"/>
      <c r="G283" s="25"/>
    </row>
    <row r="284">
      <c r="B284" s="48"/>
      <c r="D284" s="25"/>
      <c r="F284" s="25"/>
      <c r="G284" s="25"/>
    </row>
    <row r="285">
      <c r="B285" s="48"/>
      <c r="D285" s="25"/>
      <c r="F285" s="25"/>
      <c r="G285" s="25"/>
    </row>
    <row r="286">
      <c r="B286" s="48"/>
      <c r="D286" s="25"/>
      <c r="F286" s="25"/>
      <c r="G286" s="25"/>
    </row>
    <row r="287">
      <c r="B287" s="48"/>
      <c r="D287" s="25"/>
      <c r="F287" s="25"/>
      <c r="G287" s="25"/>
    </row>
    <row r="288">
      <c r="B288" s="48"/>
      <c r="D288" s="25"/>
      <c r="F288" s="25"/>
      <c r="G288" s="25"/>
    </row>
    <row r="289">
      <c r="B289" s="48"/>
      <c r="D289" s="25"/>
      <c r="F289" s="25"/>
      <c r="G289" s="25"/>
    </row>
    <row r="290">
      <c r="B290" s="48"/>
      <c r="D290" s="25"/>
      <c r="F290" s="25"/>
      <c r="G290" s="25"/>
    </row>
    <row r="291">
      <c r="B291" s="48"/>
      <c r="D291" s="25"/>
      <c r="F291" s="25"/>
      <c r="G291" s="25"/>
    </row>
    <row r="292">
      <c r="B292" s="48"/>
      <c r="D292" s="25"/>
      <c r="F292" s="25"/>
      <c r="G292" s="25"/>
    </row>
    <row r="293">
      <c r="B293" s="48"/>
      <c r="D293" s="25"/>
      <c r="F293" s="25"/>
      <c r="G293" s="25"/>
    </row>
    <row r="294">
      <c r="B294" s="48"/>
      <c r="D294" s="25"/>
      <c r="F294" s="25"/>
      <c r="G294" s="25"/>
    </row>
    <row r="295">
      <c r="B295" s="48"/>
      <c r="D295" s="25"/>
      <c r="F295" s="25"/>
      <c r="G295" s="25"/>
    </row>
    <row r="296">
      <c r="B296" s="48"/>
      <c r="D296" s="25"/>
      <c r="F296" s="25"/>
      <c r="G296" s="25"/>
    </row>
    <row r="297">
      <c r="B297" s="48"/>
      <c r="D297" s="25"/>
      <c r="F297" s="25"/>
      <c r="G297" s="25"/>
    </row>
    <row r="298">
      <c r="B298" s="48"/>
      <c r="D298" s="25"/>
      <c r="F298" s="25"/>
      <c r="G298" s="25"/>
    </row>
    <row r="299">
      <c r="B299" s="48"/>
      <c r="D299" s="25"/>
      <c r="F299" s="25"/>
      <c r="G299" s="25"/>
    </row>
    <row r="300">
      <c r="B300" s="48"/>
      <c r="D300" s="25"/>
      <c r="F300" s="25"/>
      <c r="G300" s="25"/>
    </row>
    <row r="301">
      <c r="B301" s="48"/>
      <c r="D301" s="25"/>
      <c r="F301" s="25"/>
      <c r="G301" s="25"/>
    </row>
    <row r="302">
      <c r="B302" s="48"/>
      <c r="D302" s="25"/>
      <c r="F302" s="25"/>
      <c r="G302" s="25"/>
    </row>
    <row r="303">
      <c r="B303" s="48"/>
      <c r="D303" s="25"/>
      <c r="F303" s="25"/>
      <c r="G303" s="25"/>
    </row>
    <row r="304">
      <c r="B304" s="48"/>
      <c r="D304" s="25"/>
      <c r="F304" s="25"/>
      <c r="G304" s="25"/>
    </row>
    <row r="305">
      <c r="B305" s="48"/>
      <c r="D305" s="25"/>
      <c r="F305" s="25"/>
      <c r="G305" s="25"/>
    </row>
    <row r="306">
      <c r="B306" s="48"/>
      <c r="D306" s="25"/>
      <c r="F306" s="25"/>
      <c r="G306" s="25"/>
    </row>
    <row r="307">
      <c r="B307" s="48"/>
      <c r="D307" s="25"/>
      <c r="F307" s="25"/>
      <c r="G307" s="25"/>
    </row>
    <row r="308">
      <c r="B308" s="48"/>
      <c r="D308" s="25"/>
      <c r="F308" s="25"/>
      <c r="G308" s="25"/>
    </row>
    <row r="309">
      <c r="B309" s="48"/>
      <c r="D309" s="25"/>
      <c r="F309" s="25"/>
      <c r="G309" s="25"/>
    </row>
    <row r="310">
      <c r="B310" s="48"/>
      <c r="D310" s="25"/>
      <c r="F310" s="25"/>
      <c r="G310" s="25"/>
    </row>
    <row r="311">
      <c r="B311" s="48"/>
      <c r="D311" s="25"/>
      <c r="F311" s="25"/>
      <c r="G311" s="25"/>
    </row>
    <row r="312">
      <c r="B312" s="48"/>
      <c r="D312" s="25"/>
      <c r="F312" s="25"/>
      <c r="G312" s="25"/>
    </row>
    <row r="313">
      <c r="B313" s="48"/>
      <c r="D313" s="25"/>
      <c r="F313" s="25"/>
      <c r="G313" s="25"/>
    </row>
    <row r="314">
      <c r="B314" s="48"/>
      <c r="D314" s="25"/>
      <c r="F314" s="25"/>
      <c r="G314" s="25"/>
    </row>
    <row r="315">
      <c r="B315" s="48"/>
      <c r="D315" s="25"/>
      <c r="F315" s="25"/>
      <c r="G315" s="25"/>
    </row>
    <row r="316">
      <c r="B316" s="48"/>
      <c r="D316" s="25"/>
      <c r="F316" s="25"/>
      <c r="G316" s="25"/>
    </row>
    <row r="317">
      <c r="B317" s="48"/>
      <c r="D317" s="25"/>
      <c r="F317" s="25"/>
      <c r="G317" s="25"/>
    </row>
    <row r="318">
      <c r="B318" s="48"/>
      <c r="D318" s="25"/>
      <c r="F318" s="25"/>
      <c r="G318" s="25"/>
    </row>
    <row r="319">
      <c r="B319" s="48"/>
      <c r="D319" s="25"/>
      <c r="F319" s="25"/>
      <c r="G319" s="25"/>
    </row>
    <row r="320">
      <c r="B320" s="48"/>
      <c r="D320" s="25"/>
      <c r="F320" s="25"/>
      <c r="G320" s="25"/>
    </row>
    <row r="321">
      <c r="B321" s="48"/>
      <c r="D321" s="25"/>
      <c r="F321" s="25"/>
      <c r="G321" s="25"/>
    </row>
    <row r="322">
      <c r="B322" s="48"/>
      <c r="D322" s="25"/>
      <c r="F322" s="25"/>
      <c r="G322" s="25"/>
    </row>
    <row r="323">
      <c r="B323" s="48"/>
      <c r="D323" s="25"/>
      <c r="F323" s="25"/>
      <c r="G323" s="25"/>
    </row>
    <row r="324">
      <c r="B324" s="48"/>
      <c r="D324" s="25"/>
      <c r="F324" s="25"/>
      <c r="G324" s="25"/>
    </row>
    <row r="325">
      <c r="B325" s="48"/>
      <c r="D325" s="25"/>
      <c r="F325" s="25"/>
      <c r="G325" s="25"/>
    </row>
    <row r="326">
      <c r="B326" s="48"/>
      <c r="D326" s="25"/>
      <c r="F326" s="25"/>
      <c r="G326" s="25"/>
    </row>
    <row r="327">
      <c r="B327" s="48"/>
      <c r="D327" s="25"/>
      <c r="F327" s="25"/>
      <c r="G327" s="25"/>
    </row>
    <row r="328">
      <c r="B328" s="48"/>
      <c r="D328" s="25"/>
      <c r="F328" s="25"/>
      <c r="G328" s="25"/>
    </row>
    <row r="329">
      <c r="B329" s="48"/>
      <c r="D329" s="25"/>
      <c r="F329" s="25"/>
      <c r="G329" s="25"/>
    </row>
    <row r="330">
      <c r="B330" s="48"/>
      <c r="D330" s="25"/>
      <c r="F330" s="25"/>
      <c r="G330" s="25"/>
    </row>
    <row r="331">
      <c r="B331" s="48"/>
      <c r="D331" s="25"/>
      <c r="F331" s="25"/>
      <c r="G331" s="25"/>
    </row>
    <row r="332">
      <c r="B332" s="48"/>
      <c r="D332" s="25"/>
      <c r="F332" s="25"/>
      <c r="G332" s="25"/>
    </row>
    <row r="333">
      <c r="B333" s="48"/>
      <c r="D333" s="25"/>
      <c r="F333" s="25"/>
      <c r="G333" s="25"/>
    </row>
    <row r="334">
      <c r="B334" s="48"/>
      <c r="D334" s="25"/>
      <c r="F334" s="25"/>
      <c r="G334" s="25"/>
    </row>
    <row r="335">
      <c r="B335" s="48"/>
      <c r="D335" s="25"/>
      <c r="F335" s="25"/>
      <c r="G335" s="25"/>
    </row>
    <row r="336">
      <c r="B336" s="48"/>
      <c r="D336" s="25"/>
      <c r="F336" s="25"/>
      <c r="G336" s="25"/>
    </row>
    <row r="337">
      <c r="B337" s="48"/>
      <c r="D337" s="25"/>
      <c r="F337" s="25"/>
      <c r="G337" s="25"/>
    </row>
    <row r="338">
      <c r="B338" s="48"/>
      <c r="D338" s="25"/>
      <c r="F338" s="25"/>
      <c r="G338" s="25"/>
    </row>
    <row r="339">
      <c r="B339" s="48"/>
      <c r="D339" s="25"/>
      <c r="F339" s="25"/>
      <c r="G339" s="25"/>
    </row>
    <row r="340">
      <c r="B340" s="48"/>
      <c r="D340" s="25"/>
      <c r="F340" s="25"/>
      <c r="G340" s="25"/>
    </row>
    <row r="341">
      <c r="B341" s="48"/>
      <c r="D341" s="25"/>
      <c r="F341" s="25"/>
      <c r="G341" s="25"/>
    </row>
    <row r="342">
      <c r="B342" s="48"/>
      <c r="D342" s="25"/>
      <c r="F342" s="25"/>
      <c r="G342" s="25"/>
    </row>
    <row r="343">
      <c r="B343" s="48"/>
      <c r="D343" s="25"/>
      <c r="F343" s="25"/>
      <c r="G343" s="25"/>
    </row>
    <row r="344">
      <c r="B344" s="48"/>
      <c r="D344" s="25"/>
      <c r="F344" s="25"/>
      <c r="G344" s="25"/>
    </row>
    <row r="345">
      <c r="B345" s="48"/>
      <c r="D345" s="25"/>
      <c r="F345" s="25"/>
      <c r="G345" s="25"/>
    </row>
    <row r="346">
      <c r="B346" s="48"/>
      <c r="D346" s="25"/>
      <c r="F346" s="25"/>
      <c r="G346" s="25"/>
    </row>
    <row r="347">
      <c r="B347" s="48"/>
      <c r="D347" s="25"/>
      <c r="F347" s="25"/>
      <c r="G347" s="25"/>
    </row>
    <row r="348">
      <c r="B348" s="48"/>
      <c r="D348" s="25"/>
      <c r="F348" s="25"/>
      <c r="G348" s="25"/>
    </row>
    <row r="349">
      <c r="B349" s="48"/>
      <c r="D349" s="25"/>
      <c r="F349" s="25"/>
      <c r="G349" s="25"/>
    </row>
    <row r="350">
      <c r="B350" s="48"/>
      <c r="D350" s="25"/>
      <c r="F350" s="25"/>
      <c r="G350" s="25"/>
    </row>
    <row r="351">
      <c r="B351" s="48"/>
      <c r="D351" s="25"/>
      <c r="F351" s="25"/>
      <c r="G351" s="25"/>
    </row>
    <row r="352">
      <c r="B352" s="48"/>
      <c r="D352" s="25"/>
      <c r="F352" s="25"/>
      <c r="G352" s="25"/>
    </row>
    <row r="353">
      <c r="B353" s="48"/>
      <c r="D353" s="25"/>
      <c r="F353" s="25"/>
      <c r="G353" s="25"/>
    </row>
    <row r="354">
      <c r="B354" s="48"/>
      <c r="D354" s="25"/>
      <c r="F354" s="25"/>
      <c r="G354" s="25"/>
    </row>
    <row r="355">
      <c r="B355" s="48"/>
      <c r="D355" s="25"/>
      <c r="F355" s="25"/>
      <c r="G355" s="25"/>
    </row>
    <row r="356">
      <c r="B356" s="48"/>
      <c r="D356" s="25"/>
      <c r="F356" s="25"/>
      <c r="G356" s="25"/>
    </row>
    <row r="357">
      <c r="B357" s="48"/>
      <c r="D357" s="25"/>
      <c r="F357" s="25"/>
      <c r="G357" s="25"/>
    </row>
    <row r="358">
      <c r="B358" s="48"/>
      <c r="D358" s="25"/>
      <c r="F358" s="25"/>
      <c r="G358" s="25"/>
    </row>
    <row r="359">
      <c r="B359" s="48"/>
      <c r="D359" s="25"/>
      <c r="F359" s="25"/>
      <c r="G359" s="25"/>
    </row>
    <row r="360">
      <c r="B360" s="48"/>
      <c r="D360" s="25"/>
      <c r="F360" s="25"/>
      <c r="G360" s="25"/>
    </row>
    <row r="361">
      <c r="B361" s="48"/>
      <c r="D361" s="25"/>
      <c r="F361" s="25"/>
      <c r="G361" s="25"/>
    </row>
    <row r="362">
      <c r="B362" s="48"/>
      <c r="D362" s="25"/>
      <c r="F362" s="25"/>
      <c r="G362" s="25"/>
    </row>
    <row r="363">
      <c r="B363" s="48"/>
      <c r="D363" s="25"/>
      <c r="F363" s="25"/>
      <c r="G363" s="25"/>
    </row>
    <row r="364">
      <c r="B364" s="48"/>
      <c r="D364" s="25"/>
      <c r="F364" s="25"/>
      <c r="G364" s="25"/>
    </row>
    <row r="365">
      <c r="B365" s="48"/>
      <c r="D365" s="25"/>
      <c r="F365" s="25"/>
      <c r="G365" s="25"/>
    </row>
    <row r="366">
      <c r="B366" s="48"/>
      <c r="D366" s="25"/>
      <c r="F366" s="25"/>
      <c r="G366" s="25"/>
    </row>
    <row r="367">
      <c r="B367" s="48"/>
      <c r="D367" s="25"/>
      <c r="F367" s="25"/>
      <c r="G367" s="25"/>
    </row>
    <row r="368">
      <c r="B368" s="48"/>
      <c r="D368" s="25"/>
      <c r="F368" s="25"/>
      <c r="G368" s="25"/>
    </row>
    <row r="369">
      <c r="B369" s="48"/>
      <c r="D369" s="25"/>
      <c r="F369" s="25"/>
      <c r="G369" s="25"/>
    </row>
    <row r="370">
      <c r="B370" s="48"/>
      <c r="D370" s="25"/>
      <c r="F370" s="25"/>
      <c r="G370" s="25"/>
    </row>
    <row r="371">
      <c r="B371" s="48"/>
      <c r="D371" s="25"/>
      <c r="F371" s="25"/>
      <c r="G371" s="25"/>
    </row>
    <row r="372">
      <c r="B372" s="48"/>
      <c r="D372" s="25"/>
      <c r="F372" s="25"/>
      <c r="G372" s="25"/>
    </row>
    <row r="373">
      <c r="B373" s="48"/>
      <c r="D373" s="25"/>
      <c r="F373" s="25"/>
      <c r="G373" s="25"/>
    </row>
    <row r="374">
      <c r="B374" s="48"/>
      <c r="D374" s="25"/>
      <c r="F374" s="25"/>
      <c r="G374" s="25"/>
    </row>
    <row r="375">
      <c r="B375" s="48"/>
      <c r="D375" s="25"/>
      <c r="F375" s="25"/>
      <c r="G375" s="25"/>
    </row>
    <row r="376">
      <c r="B376" s="48"/>
      <c r="D376" s="25"/>
      <c r="F376" s="25"/>
      <c r="G376" s="25"/>
    </row>
    <row r="377">
      <c r="B377" s="48"/>
      <c r="D377" s="25"/>
      <c r="F377" s="25"/>
      <c r="G377" s="25"/>
    </row>
    <row r="378">
      <c r="B378" s="48"/>
      <c r="D378" s="25"/>
      <c r="F378" s="25"/>
      <c r="G378" s="25"/>
    </row>
    <row r="379">
      <c r="B379" s="48"/>
      <c r="D379" s="25"/>
      <c r="F379" s="25"/>
      <c r="G379" s="25"/>
    </row>
    <row r="380">
      <c r="B380" s="48"/>
      <c r="D380" s="25"/>
      <c r="F380" s="25"/>
      <c r="G380" s="25"/>
    </row>
    <row r="381">
      <c r="B381" s="48"/>
      <c r="D381" s="25"/>
      <c r="F381" s="25"/>
      <c r="G381" s="25"/>
    </row>
    <row r="382">
      <c r="B382" s="48"/>
      <c r="D382" s="25"/>
      <c r="F382" s="25"/>
      <c r="G382" s="25"/>
    </row>
    <row r="383">
      <c r="B383" s="48"/>
      <c r="D383" s="25"/>
      <c r="F383" s="25"/>
      <c r="G383" s="25"/>
    </row>
    <row r="384">
      <c r="B384" s="48"/>
      <c r="D384" s="25"/>
      <c r="F384" s="25"/>
      <c r="G384" s="25"/>
    </row>
    <row r="385">
      <c r="B385" s="48"/>
      <c r="D385" s="25"/>
      <c r="F385" s="25"/>
      <c r="G385" s="25"/>
    </row>
    <row r="386">
      <c r="B386" s="48"/>
      <c r="D386" s="25"/>
      <c r="F386" s="25"/>
      <c r="G386" s="25"/>
    </row>
    <row r="387">
      <c r="B387" s="48"/>
      <c r="D387" s="25"/>
      <c r="F387" s="25"/>
      <c r="G387" s="25"/>
    </row>
    <row r="388">
      <c r="B388" s="48"/>
      <c r="D388" s="25"/>
      <c r="F388" s="25"/>
      <c r="G388" s="25"/>
    </row>
    <row r="389">
      <c r="B389" s="48"/>
      <c r="D389" s="25"/>
      <c r="F389" s="25"/>
      <c r="G389" s="25"/>
    </row>
    <row r="390">
      <c r="B390" s="48"/>
      <c r="D390" s="25"/>
      <c r="F390" s="25"/>
      <c r="G390" s="25"/>
    </row>
    <row r="391">
      <c r="B391" s="48"/>
      <c r="D391" s="25"/>
      <c r="F391" s="25"/>
      <c r="G391" s="25"/>
    </row>
    <row r="392">
      <c r="B392" s="48"/>
      <c r="D392" s="25"/>
      <c r="F392" s="25"/>
      <c r="G392" s="25"/>
    </row>
    <row r="393">
      <c r="B393" s="48"/>
      <c r="D393" s="25"/>
      <c r="F393" s="25"/>
      <c r="G393" s="25"/>
    </row>
    <row r="394">
      <c r="B394" s="48"/>
      <c r="D394" s="25"/>
      <c r="F394" s="25"/>
      <c r="G394" s="25"/>
    </row>
    <row r="395">
      <c r="B395" s="48"/>
      <c r="D395" s="25"/>
      <c r="F395" s="25"/>
      <c r="G395" s="25"/>
    </row>
    <row r="396">
      <c r="B396" s="48"/>
      <c r="D396" s="25"/>
      <c r="F396" s="25"/>
      <c r="G396" s="25"/>
    </row>
    <row r="397">
      <c r="B397" s="48"/>
      <c r="D397" s="25"/>
      <c r="F397" s="25"/>
      <c r="G397" s="25"/>
    </row>
    <row r="398">
      <c r="B398" s="48"/>
      <c r="D398" s="25"/>
      <c r="F398" s="25"/>
      <c r="G398" s="25"/>
    </row>
    <row r="399">
      <c r="B399" s="48"/>
      <c r="D399" s="25"/>
      <c r="F399" s="25"/>
      <c r="G399" s="25"/>
    </row>
    <row r="400">
      <c r="B400" s="48"/>
      <c r="D400" s="25"/>
      <c r="F400" s="25"/>
      <c r="G400" s="25"/>
    </row>
    <row r="401">
      <c r="B401" s="48"/>
      <c r="D401" s="25"/>
      <c r="F401" s="25"/>
      <c r="G401" s="25"/>
    </row>
    <row r="402">
      <c r="B402" s="48"/>
      <c r="D402" s="25"/>
      <c r="F402" s="25"/>
      <c r="G402" s="25"/>
    </row>
    <row r="403">
      <c r="B403" s="48"/>
      <c r="D403" s="25"/>
      <c r="F403" s="25"/>
      <c r="G403" s="25"/>
    </row>
    <row r="404">
      <c r="B404" s="48"/>
      <c r="D404" s="25"/>
      <c r="F404" s="25"/>
      <c r="G404" s="25"/>
    </row>
    <row r="405">
      <c r="B405" s="48"/>
      <c r="D405" s="25"/>
      <c r="F405" s="25"/>
      <c r="G405" s="25"/>
    </row>
    <row r="406">
      <c r="B406" s="48"/>
      <c r="D406" s="25"/>
      <c r="F406" s="25"/>
      <c r="G406" s="25"/>
    </row>
    <row r="407">
      <c r="B407" s="48"/>
      <c r="D407" s="25"/>
      <c r="F407" s="25"/>
      <c r="G407" s="25"/>
    </row>
    <row r="408">
      <c r="B408" s="48"/>
      <c r="D408" s="25"/>
      <c r="F408" s="25"/>
      <c r="G408" s="25"/>
    </row>
    <row r="409">
      <c r="B409" s="48"/>
      <c r="D409" s="25"/>
      <c r="F409" s="25"/>
      <c r="G409" s="25"/>
    </row>
    <row r="410">
      <c r="B410" s="48"/>
      <c r="D410" s="25"/>
      <c r="F410" s="25"/>
      <c r="G410" s="25"/>
    </row>
    <row r="411">
      <c r="B411" s="48"/>
      <c r="D411" s="25"/>
      <c r="F411" s="25"/>
      <c r="G411" s="25"/>
    </row>
    <row r="412">
      <c r="B412" s="48"/>
      <c r="D412" s="25"/>
      <c r="F412" s="25"/>
      <c r="G412" s="25"/>
    </row>
    <row r="413">
      <c r="B413" s="48"/>
      <c r="D413" s="25"/>
      <c r="F413" s="25"/>
      <c r="G413" s="25"/>
    </row>
    <row r="414">
      <c r="B414" s="48"/>
      <c r="D414" s="25"/>
      <c r="F414" s="25"/>
      <c r="G414" s="25"/>
    </row>
    <row r="415">
      <c r="B415" s="48"/>
      <c r="D415" s="25"/>
      <c r="F415" s="25"/>
      <c r="G415" s="25"/>
    </row>
    <row r="416">
      <c r="B416" s="48"/>
      <c r="D416" s="25"/>
      <c r="F416" s="25"/>
      <c r="G416" s="25"/>
    </row>
    <row r="417">
      <c r="B417" s="48"/>
      <c r="D417" s="25"/>
      <c r="F417" s="25"/>
      <c r="G417" s="25"/>
    </row>
    <row r="418">
      <c r="B418" s="48"/>
      <c r="D418" s="25"/>
      <c r="F418" s="25"/>
      <c r="G418" s="25"/>
    </row>
    <row r="419">
      <c r="B419" s="48"/>
      <c r="D419" s="25"/>
      <c r="F419" s="25"/>
      <c r="G419" s="25"/>
    </row>
    <row r="420">
      <c r="B420" s="48"/>
      <c r="D420" s="25"/>
      <c r="F420" s="25"/>
      <c r="G420" s="25"/>
    </row>
    <row r="421">
      <c r="B421" s="48"/>
      <c r="D421" s="25"/>
      <c r="F421" s="25"/>
      <c r="G421" s="25"/>
    </row>
    <row r="422">
      <c r="B422" s="48"/>
      <c r="D422" s="25"/>
      <c r="F422" s="25"/>
      <c r="G422" s="25"/>
    </row>
    <row r="423">
      <c r="B423" s="48"/>
      <c r="D423" s="25"/>
      <c r="F423" s="25"/>
      <c r="G423" s="25"/>
    </row>
    <row r="424">
      <c r="B424" s="48"/>
      <c r="D424" s="25"/>
      <c r="F424" s="25"/>
      <c r="G424" s="25"/>
    </row>
    <row r="425">
      <c r="B425" s="48"/>
      <c r="D425" s="25"/>
      <c r="F425" s="25"/>
      <c r="G425" s="25"/>
    </row>
    <row r="426">
      <c r="B426" s="48"/>
      <c r="D426" s="25"/>
      <c r="F426" s="25"/>
      <c r="G426" s="25"/>
    </row>
    <row r="427">
      <c r="B427" s="48"/>
      <c r="D427" s="25"/>
      <c r="F427" s="25"/>
      <c r="G427" s="25"/>
    </row>
    <row r="428">
      <c r="B428" s="48"/>
      <c r="D428" s="25"/>
      <c r="F428" s="25"/>
      <c r="G428" s="25"/>
    </row>
    <row r="429">
      <c r="B429" s="48"/>
      <c r="D429" s="25"/>
      <c r="F429" s="25"/>
      <c r="G429" s="25"/>
    </row>
    <row r="430">
      <c r="B430" s="48"/>
      <c r="D430" s="25"/>
      <c r="F430" s="25"/>
      <c r="G430" s="25"/>
    </row>
    <row r="431">
      <c r="B431" s="48"/>
      <c r="D431" s="25"/>
      <c r="F431" s="25"/>
      <c r="G431" s="25"/>
    </row>
    <row r="432">
      <c r="B432" s="48"/>
      <c r="D432" s="25"/>
      <c r="F432" s="25"/>
      <c r="G432" s="25"/>
    </row>
    <row r="433">
      <c r="B433" s="48"/>
      <c r="D433" s="25"/>
      <c r="F433" s="25"/>
      <c r="G433" s="25"/>
    </row>
    <row r="434">
      <c r="B434" s="48"/>
      <c r="D434" s="25"/>
      <c r="F434" s="25"/>
      <c r="G434" s="25"/>
    </row>
    <row r="435">
      <c r="B435" s="48"/>
      <c r="D435" s="25"/>
      <c r="F435" s="25"/>
      <c r="G435" s="25"/>
    </row>
    <row r="436">
      <c r="B436" s="48"/>
      <c r="D436" s="25"/>
      <c r="F436" s="25"/>
      <c r="G436" s="25"/>
    </row>
    <row r="437">
      <c r="B437" s="48"/>
      <c r="D437" s="25"/>
      <c r="F437" s="25"/>
      <c r="G437" s="25"/>
    </row>
    <row r="438">
      <c r="B438" s="48"/>
      <c r="D438" s="25"/>
      <c r="F438" s="25"/>
      <c r="G438" s="25"/>
    </row>
    <row r="439">
      <c r="B439" s="48"/>
      <c r="D439" s="25"/>
      <c r="F439" s="25"/>
      <c r="G439" s="25"/>
    </row>
    <row r="440">
      <c r="B440" s="48"/>
      <c r="D440" s="25"/>
      <c r="F440" s="25"/>
      <c r="G440" s="25"/>
    </row>
    <row r="441">
      <c r="B441" s="48"/>
      <c r="D441" s="25"/>
      <c r="F441" s="25"/>
      <c r="G441" s="25"/>
    </row>
    <row r="442">
      <c r="B442" s="48"/>
      <c r="D442" s="25"/>
      <c r="F442" s="25"/>
      <c r="G442" s="25"/>
    </row>
    <row r="443">
      <c r="B443" s="48"/>
      <c r="D443" s="25"/>
      <c r="F443" s="25"/>
      <c r="G443" s="25"/>
    </row>
    <row r="444">
      <c r="B444" s="48"/>
      <c r="D444" s="25"/>
      <c r="F444" s="25"/>
      <c r="G444" s="25"/>
    </row>
    <row r="445">
      <c r="B445" s="48"/>
      <c r="D445" s="25"/>
      <c r="F445" s="25"/>
      <c r="G445" s="25"/>
    </row>
    <row r="446">
      <c r="B446" s="48"/>
      <c r="D446" s="25"/>
      <c r="F446" s="25"/>
      <c r="G446" s="25"/>
    </row>
    <row r="447">
      <c r="B447" s="48"/>
      <c r="D447" s="25"/>
      <c r="F447" s="25"/>
      <c r="G447" s="25"/>
    </row>
    <row r="448">
      <c r="B448" s="48"/>
      <c r="D448" s="25"/>
      <c r="F448" s="25"/>
      <c r="G448" s="25"/>
    </row>
    <row r="449">
      <c r="B449" s="48"/>
      <c r="D449" s="25"/>
      <c r="F449" s="25"/>
      <c r="G449" s="25"/>
    </row>
    <row r="450">
      <c r="B450" s="48"/>
      <c r="D450" s="25"/>
      <c r="F450" s="25"/>
      <c r="G450" s="25"/>
    </row>
    <row r="451">
      <c r="B451" s="48"/>
      <c r="D451" s="25"/>
      <c r="F451" s="25"/>
      <c r="G451" s="25"/>
    </row>
    <row r="452">
      <c r="B452" s="48"/>
      <c r="D452" s="25"/>
      <c r="F452" s="25"/>
      <c r="G452" s="25"/>
    </row>
    <row r="453">
      <c r="B453" s="48"/>
      <c r="D453" s="25"/>
      <c r="F453" s="25"/>
      <c r="G453" s="25"/>
    </row>
    <row r="454">
      <c r="B454" s="48"/>
      <c r="D454" s="25"/>
      <c r="F454" s="25"/>
      <c r="G454" s="25"/>
    </row>
    <row r="455">
      <c r="B455" s="48"/>
      <c r="D455" s="25"/>
      <c r="F455" s="25"/>
      <c r="G455" s="25"/>
    </row>
    <row r="456">
      <c r="B456" s="48"/>
      <c r="D456" s="25"/>
      <c r="F456" s="25"/>
      <c r="G456" s="25"/>
    </row>
    <row r="457">
      <c r="B457" s="48"/>
      <c r="D457" s="25"/>
      <c r="F457" s="25"/>
      <c r="G457" s="25"/>
    </row>
    <row r="458">
      <c r="B458" s="48"/>
      <c r="D458" s="25"/>
      <c r="F458" s="25"/>
      <c r="G458" s="25"/>
    </row>
    <row r="459">
      <c r="B459" s="48"/>
      <c r="D459" s="25"/>
      <c r="F459" s="25"/>
      <c r="G459" s="25"/>
    </row>
    <row r="460">
      <c r="B460" s="48"/>
      <c r="D460" s="25"/>
      <c r="F460" s="25"/>
      <c r="G460" s="25"/>
    </row>
    <row r="461">
      <c r="B461" s="48"/>
      <c r="D461" s="25"/>
      <c r="F461" s="25"/>
      <c r="G461" s="25"/>
    </row>
    <row r="462">
      <c r="B462" s="48"/>
      <c r="D462" s="25"/>
      <c r="F462" s="25"/>
      <c r="G462" s="25"/>
    </row>
    <row r="463">
      <c r="B463" s="48"/>
      <c r="D463" s="25"/>
      <c r="F463" s="25"/>
      <c r="G463" s="25"/>
    </row>
    <row r="464">
      <c r="B464" s="48"/>
      <c r="D464" s="25"/>
      <c r="F464" s="25"/>
      <c r="G464" s="25"/>
    </row>
    <row r="465">
      <c r="B465" s="48"/>
      <c r="D465" s="25"/>
      <c r="F465" s="25"/>
      <c r="G465" s="25"/>
    </row>
    <row r="466">
      <c r="B466" s="48"/>
      <c r="D466" s="25"/>
      <c r="F466" s="25"/>
      <c r="G466" s="25"/>
    </row>
    <row r="467">
      <c r="B467" s="48"/>
      <c r="D467" s="25"/>
      <c r="F467" s="25"/>
      <c r="G467" s="25"/>
    </row>
    <row r="468">
      <c r="B468" s="48"/>
      <c r="D468" s="25"/>
      <c r="F468" s="25"/>
      <c r="G468" s="25"/>
    </row>
    <row r="469">
      <c r="B469" s="48"/>
      <c r="D469" s="25"/>
      <c r="F469" s="25"/>
      <c r="G469" s="25"/>
    </row>
    <row r="470">
      <c r="B470" s="48"/>
      <c r="D470" s="25"/>
      <c r="F470" s="25"/>
      <c r="G470" s="25"/>
    </row>
    <row r="471">
      <c r="B471" s="48"/>
      <c r="D471" s="25"/>
      <c r="F471" s="25"/>
      <c r="G471" s="25"/>
    </row>
    <row r="472">
      <c r="B472" s="48"/>
      <c r="D472" s="25"/>
      <c r="F472" s="25"/>
      <c r="G472" s="25"/>
    </row>
    <row r="473">
      <c r="B473" s="48"/>
      <c r="D473" s="25"/>
      <c r="F473" s="25"/>
      <c r="G473" s="25"/>
    </row>
    <row r="474">
      <c r="B474" s="48"/>
      <c r="D474" s="25"/>
      <c r="F474" s="25"/>
      <c r="G474" s="25"/>
    </row>
    <row r="475">
      <c r="B475" s="48"/>
      <c r="D475" s="25"/>
      <c r="F475" s="25"/>
      <c r="G475" s="25"/>
    </row>
    <row r="476">
      <c r="B476" s="48"/>
      <c r="D476" s="25"/>
      <c r="F476" s="25"/>
      <c r="G476" s="25"/>
    </row>
    <row r="477">
      <c r="B477" s="48"/>
      <c r="D477" s="25"/>
      <c r="F477" s="25"/>
      <c r="G477" s="25"/>
    </row>
    <row r="478">
      <c r="B478" s="48"/>
      <c r="D478" s="25"/>
      <c r="F478" s="25"/>
      <c r="G478" s="25"/>
    </row>
    <row r="479">
      <c r="B479" s="48"/>
      <c r="D479" s="25"/>
      <c r="F479" s="25"/>
      <c r="G479" s="25"/>
    </row>
    <row r="480">
      <c r="B480" s="48"/>
      <c r="D480" s="25"/>
      <c r="F480" s="25"/>
      <c r="G480" s="25"/>
    </row>
    <row r="481">
      <c r="B481" s="48"/>
      <c r="D481" s="25"/>
      <c r="F481" s="25"/>
      <c r="G481" s="25"/>
    </row>
    <row r="482">
      <c r="B482" s="48"/>
      <c r="D482" s="25"/>
      <c r="F482" s="25"/>
      <c r="G482" s="25"/>
    </row>
    <row r="483">
      <c r="B483" s="48"/>
      <c r="D483" s="25"/>
      <c r="F483" s="25"/>
      <c r="G483" s="25"/>
    </row>
    <row r="484">
      <c r="B484" s="48"/>
      <c r="D484" s="25"/>
      <c r="F484" s="25"/>
      <c r="G484" s="25"/>
    </row>
    <row r="485">
      <c r="B485" s="48"/>
      <c r="D485" s="25"/>
      <c r="F485" s="25"/>
      <c r="G485" s="25"/>
    </row>
    <row r="486">
      <c r="B486" s="48"/>
      <c r="D486" s="25"/>
      <c r="F486" s="25"/>
      <c r="G486" s="25"/>
    </row>
    <row r="487">
      <c r="B487" s="48"/>
      <c r="D487" s="25"/>
      <c r="F487" s="25"/>
      <c r="G487" s="25"/>
    </row>
    <row r="488">
      <c r="B488" s="48"/>
      <c r="D488" s="25"/>
      <c r="F488" s="25"/>
      <c r="G488" s="25"/>
    </row>
    <row r="489">
      <c r="B489" s="48"/>
      <c r="D489" s="25"/>
      <c r="F489" s="25"/>
      <c r="G489" s="25"/>
    </row>
    <row r="490">
      <c r="B490" s="48"/>
      <c r="D490" s="25"/>
      <c r="F490" s="25"/>
      <c r="G490" s="25"/>
    </row>
    <row r="491">
      <c r="B491" s="48"/>
      <c r="D491" s="25"/>
      <c r="F491" s="25"/>
      <c r="G491" s="25"/>
    </row>
    <row r="492">
      <c r="B492" s="48"/>
      <c r="D492" s="25"/>
      <c r="F492" s="25"/>
      <c r="G492" s="25"/>
    </row>
    <row r="493">
      <c r="B493" s="48"/>
      <c r="D493" s="25"/>
      <c r="F493" s="25"/>
      <c r="G493" s="25"/>
    </row>
    <row r="494">
      <c r="B494" s="48"/>
      <c r="D494" s="25"/>
      <c r="F494" s="25"/>
      <c r="G494" s="25"/>
    </row>
    <row r="495">
      <c r="B495" s="48"/>
      <c r="D495" s="25"/>
      <c r="F495" s="25"/>
      <c r="G495" s="25"/>
    </row>
    <row r="496">
      <c r="B496" s="48"/>
      <c r="D496" s="25"/>
      <c r="F496" s="25"/>
      <c r="G496" s="25"/>
    </row>
    <row r="497">
      <c r="B497" s="48"/>
      <c r="D497" s="25"/>
      <c r="F497" s="25"/>
      <c r="G497" s="25"/>
    </row>
    <row r="498">
      <c r="B498" s="48"/>
      <c r="D498" s="25"/>
      <c r="F498" s="25"/>
      <c r="G498" s="25"/>
    </row>
    <row r="499">
      <c r="B499" s="48"/>
      <c r="D499" s="25"/>
      <c r="F499" s="25"/>
      <c r="G499" s="25"/>
    </row>
    <row r="500">
      <c r="B500" s="48"/>
      <c r="D500" s="25"/>
      <c r="F500" s="25"/>
      <c r="G500" s="25"/>
    </row>
    <row r="501">
      <c r="B501" s="48"/>
      <c r="D501" s="25"/>
      <c r="F501" s="25"/>
      <c r="G501" s="25"/>
    </row>
    <row r="502">
      <c r="B502" s="48"/>
      <c r="D502" s="25"/>
      <c r="F502" s="25"/>
      <c r="G502" s="25"/>
    </row>
    <row r="503">
      <c r="B503" s="48"/>
      <c r="D503" s="25"/>
      <c r="F503" s="25"/>
      <c r="G503" s="25"/>
    </row>
    <row r="504">
      <c r="B504" s="48"/>
      <c r="D504" s="25"/>
      <c r="F504" s="25"/>
      <c r="G504" s="25"/>
    </row>
    <row r="505">
      <c r="B505" s="48"/>
      <c r="D505" s="25"/>
      <c r="F505" s="25"/>
      <c r="G505" s="25"/>
    </row>
    <row r="506">
      <c r="B506" s="48"/>
      <c r="D506" s="25"/>
      <c r="F506" s="25"/>
      <c r="G506" s="25"/>
    </row>
    <row r="507">
      <c r="B507" s="48"/>
      <c r="D507" s="25"/>
      <c r="F507" s="25"/>
      <c r="G507" s="25"/>
    </row>
    <row r="508">
      <c r="B508" s="48"/>
      <c r="D508" s="25"/>
      <c r="F508" s="25"/>
      <c r="G508" s="25"/>
    </row>
    <row r="509">
      <c r="B509" s="48"/>
      <c r="D509" s="25"/>
      <c r="F509" s="25"/>
      <c r="G509" s="25"/>
    </row>
    <row r="510">
      <c r="B510" s="48"/>
      <c r="D510" s="25"/>
      <c r="F510" s="25"/>
      <c r="G510" s="25"/>
    </row>
    <row r="511">
      <c r="B511" s="48"/>
      <c r="D511" s="25"/>
      <c r="F511" s="25"/>
      <c r="G511" s="25"/>
    </row>
    <row r="512">
      <c r="B512" s="48"/>
      <c r="D512" s="25"/>
      <c r="F512" s="25"/>
      <c r="G512" s="25"/>
    </row>
    <row r="513">
      <c r="B513" s="48"/>
      <c r="D513" s="25"/>
      <c r="F513" s="25"/>
      <c r="G513" s="25"/>
    </row>
    <row r="514">
      <c r="B514" s="48"/>
      <c r="D514" s="25"/>
      <c r="F514" s="25"/>
      <c r="G514" s="25"/>
    </row>
    <row r="515">
      <c r="B515" s="48"/>
      <c r="D515" s="25"/>
      <c r="F515" s="25"/>
      <c r="G515" s="25"/>
    </row>
    <row r="516">
      <c r="B516" s="48"/>
      <c r="D516" s="25"/>
      <c r="F516" s="25"/>
      <c r="G516" s="25"/>
    </row>
    <row r="517">
      <c r="B517" s="48"/>
      <c r="D517" s="25"/>
      <c r="F517" s="25"/>
      <c r="G517" s="25"/>
    </row>
    <row r="518">
      <c r="B518" s="48"/>
      <c r="D518" s="25"/>
      <c r="F518" s="25"/>
      <c r="G518" s="25"/>
    </row>
    <row r="519">
      <c r="B519" s="48"/>
      <c r="D519" s="25"/>
      <c r="F519" s="25"/>
      <c r="G519" s="25"/>
    </row>
    <row r="520">
      <c r="B520" s="48"/>
      <c r="D520" s="25"/>
      <c r="F520" s="25"/>
      <c r="G520" s="25"/>
    </row>
    <row r="521">
      <c r="B521" s="48"/>
      <c r="D521" s="25"/>
      <c r="F521" s="25"/>
      <c r="G521" s="25"/>
    </row>
    <row r="522">
      <c r="B522" s="48"/>
      <c r="D522" s="25"/>
      <c r="F522" s="25"/>
      <c r="G522" s="25"/>
    </row>
    <row r="523">
      <c r="B523" s="48"/>
      <c r="D523" s="25"/>
      <c r="F523" s="25"/>
      <c r="G523" s="25"/>
    </row>
    <row r="524">
      <c r="B524" s="48"/>
      <c r="D524" s="25"/>
      <c r="F524" s="25"/>
      <c r="G524" s="25"/>
    </row>
    <row r="525">
      <c r="B525" s="48"/>
      <c r="D525" s="25"/>
      <c r="F525" s="25"/>
      <c r="G525" s="25"/>
    </row>
    <row r="526">
      <c r="B526" s="48"/>
      <c r="D526" s="25"/>
      <c r="F526" s="25"/>
      <c r="G526" s="25"/>
    </row>
    <row r="527">
      <c r="B527" s="48"/>
      <c r="D527" s="25"/>
      <c r="F527" s="25"/>
      <c r="G527" s="25"/>
    </row>
    <row r="528">
      <c r="B528" s="48"/>
      <c r="D528" s="25"/>
      <c r="F528" s="25"/>
      <c r="G528" s="25"/>
    </row>
    <row r="529">
      <c r="B529" s="48"/>
      <c r="D529" s="25"/>
      <c r="F529" s="25"/>
      <c r="G529" s="25"/>
    </row>
    <row r="530">
      <c r="B530" s="48"/>
      <c r="D530" s="25"/>
      <c r="F530" s="25"/>
      <c r="G530" s="25"/>
    </row>
    <row r="531">
      <c r="B531" s="48"/>
      <c r="D531" s="25"/>
      <c r="F531" s="25"/>
      <c r="G531" s="25"/>
    </row>
    <row r="532">
      <c r="B532" s="48"/>
      <c r="D532" s="25"/>
      <c r="F532" s="25"/>
      <c r="G532" s="25"/>
    </row>
    <row r="533">
      <c r="B533" s="48"/>
      <c r="D533" s="25"/>
      <c r="F533" s="25"/>
      <c r="G533" s="25"/>
    </row>
    <row r="534">
      <c r="B534" s="48"/>
      <c r="D534" s="25"/>
      <c r="F534" s="25"/>
      <c r="G534" s="25"/>
    </row>
    <row r="535">
      <c r="B535" s="48"/>
      <c r="D535" s="25"/>
      <c r="F535" s="25"/>
      <c r="G535" s="25"/>
    </row>
    <row r="536">
      <c r="B536" s="48"/>
      <c r="D536" s="25"/>
      <c r="F536" s="25"/>
      <c r="G536" s="25"/>
    </row>
    <row r="537">
      <c r="B537" s="48"/>
      <c r="D537" s="25"/>
      <c r="F537" s="25"/>
      <c r="G537" s="25"/>
    </row>
    <row r="538">
      <c r="B538" s="48"/>
      <c r="D538" s="25"/>
      <c r="F538" s="25"/>
      <c r="G538" s="25"/>
    </row>
    <row r="539">
      <c r="B539" s="48"/>
      <c r="D539" s="25"/>
      <c r="F539" s="25"/>
      <c r="G539" s="25"/>
    </row>
    <row r="540">
      <c r="B540" s="48"/>
      <c r="D540" s="25"/>
      <c r="F540" s="25"/>
      <c r="G540" s="25"/>
    </row>
    <row r="541">
      <c r="B541" s="48"/>
      <c r="D541" s="25"/>
      <c r="F541" s="25"/>
      <c r="G541" s="25"/>
    </row>
    <row r="542">
      <c r="B542" s="48"/>
      <c r="D542" s="25"/>
      <c r="F542" s="25"/>
      <c r="G542" s="25"/>
    </row>
    <row r="543">
      <c r="B543" s="48"/>
      <c r="D543" s="25"/>
      <c r="F543" s="25"/>
      <c r="G543" s="25"/>
    </row>
    <row r="544">
      <c r="B544" s="48"/>
      <c r="D544" s="25"/>
      <c r="F544" s="25"/>
      <c r="G544" s="25"/>
    </row>
    <row r="545">
      <c r="B545" s="48"/>
      <c r="D545" s="25"/>
      <c r="F545" s="25"/>
      <c r="G545" s="25"/>
    </row>
    <row r="546">
      <c r="B546" s="48"/>
      <c r="D546" s="25"/>
      <c r="F546" s="25"/>
      <c r="G546" s="25"/>
    </row>
    <row r="547">
      <c r="B547" s="48"/>
      <c r="D547" s="25"/>
      <c r="F547" s="25"/>
      <c r="G547" s="25"/>
    </row>
    <row r="548">
      <c r="B548" s="48"/>
      <c r="D548" s="25"/>
      <c r="F548" s="25"/>
      <c r="G548" s="25"/>
    </row>
    <row r="549">
      <c r="B549" s="48"/>
      <c r="D549" s="25"/>
      <c r="F549" s="25"/>
      <c r="G549" s="25"/>
    </row>
    <row r="550">
      <c r="B550" s="48"/>
      <c r="D550" s="25"/>
      <c r="F550" s="25"/>
      <c r="G550" s="25"/>
    </row>
    <row r="551">
      <c r="B551" s="48"/>
      <c r="D551" s="25"/>
      <c r="F551" s="25"/>
      <c r="G551" s="25"/>
    </row>
    <row r="552">
      <c r="B552" s="48"/>
      <c r="D552" s="25"/>
      <c r="F552" s="25"/>
      <c r="G552" s="25"/>
    </row>
    <row r="553">
      <c r="B553" s="48"/>
      <c r="D553" s="25"/>
      <c r="F553" s="25"/>
      <c r="G553" s="25"/>
    </row>
    <row r="554">
      <c r="B554" s="48"/>
      <c r="D554" s="25"/>
      <c r="F554" s="25"/>
      <c r="G554" s="25"/>
    </row>
    <row r="555">
      <c r="B555" s="48"/>
      <c r="D555" s="25"/>
      <c r="F555" s="25"/>
      <c r="G555" s="25"/>
    </row>
    <row r="556">
      <c r="B556" s="48"/>
      <c r="D556" s="25"/>
      <c r="F556" s="25"/>
      <c r="G556" s="25"/>
    </row>
    <row r="557">
      <c r="B557" s="48"/>
      <c r="D557" s="25"/>
      <c r="F557" s="25"/>
      <c r="G557" s="25"/>
    </row>
    <row r="558">
      <c r="B558" s="48"/>
      <c r="D558" s="25"/>
      <c r="F558" s="25"/>
      <c r="G558" s="25"/>
    </row>
    <row r="559">
      <c r="B559" s="48"/>
      <c r="D559" s="25"/>
      <c r="F559" s="25"/>
      <c r="G559" s="25"/>
    </row>
    <row r="560">
      <c r="B560" s="48"/>
      <c r="D560" s="25"/>
      <c r="F560" s="25"/>
      <c r="G560" s="25"/>
    </row>
    <row r="561">
      <c r="B561" s="48"/>
      <c r="D561" s="25"/>
      <c r="F561" s="25"/>
      <c r="G561" s="25"/>
    </row>
    <row r="562">
      <c r="B562" s="48"/>
      <c r="D562" s="25"/>
      <c r="F562" s="25"/>
      <c r="G562" s="25"/>
    </row>
    <row r="563">
      <c r="B563" s="48"/>
      <c r="D563" s="25"/>
      <c r="F563" s="25"/>
      <c r="G563" s="25"/>
    </row>
    <row r="564">
      <c r="B564" s="48"/>
      <c r="D564" s="25"/>
      <c r="F564" s="25"/>
      <c r="G564" s="25"/>
    </row>
    <row r="565">
      <c r="B565" s="48"/>
      <c r="D565" s="25"/>
      <c r="F565" s="25"/>
      <c r="G565" s="25"/>
    </row>
    <row r="566">
      <c r="B566" s="48"/>
      <c r="D566" s="25"/>
      <c r="F566" s="25"/>
      <c r="G566" s="25"/>
    </row>
    <row r="567">
      <c r="B567" s="48"/>
      <c r="D567" s="25"/>
      <c r="F567" s="25"/>
      <c r="G567" s="25"/>
    </row>
    <row r="568">
      <c r="B568" s="48"/>
      <c r="D568" s="25"/>
      <c r="F568" s="25"/>
      <c r="G568" s="25"/>
    </row>
    <row r="569">
      <c r="B569" s="48"/>
      <c r="D569" s="25"/>
      <c r="F569" s="25"/>
      <c r="G569" s="25"/>
    </row>
    <row r="570">
      <c r="B570" s="48"/>
      <c r="D570" s="25"/>
      <c r="F570" s="25"/>
      <c r="G570" s="25"/>
    </row>
    <row r="571">
      <c r="B571" s="48"/>
      <c r="D571" s="25"/>
      <c r="F571" s="25"/>
      <c r="G571" s="25"/>
    </row>
    <row r="572">
      <c r="B572" s="48"/>
      <c r="D572" s="25"/>
      <c r="F572" s="25"/>
      <c r="G572" s="25"/>
    </row>
    <row r="573">
      <c r="B573" s="48"/>
      <c r="D573" s="25"/>
      <c r="F573" s="25"/>
      <c r="G573" s="25"/>
    </row>
    <row r="574">
      <c r="B574" s="48"/>
      <c r="D574" s="25"/>
      <c r="F574" s="25"/>
      <c r="G574" s="25"/>
    </row>
    <row r="575">
      <c r="B575" s="48"/>
      <c r="D575" s="25"/>
      <c r="F575" s="25"/>
      <c r="G575" s="25"/>
    </row>
    <row r="576">
      <c r="B576" s="48"/>
      <c r="D576" s="25"/>
      <c r="F576" s="25"/>
      <c r="G576" s="25"/>
    </row>
    <row r="577">
      <c r="B577" s="48"/>
      <c r="D577" s="25"/>
      <c r="F577" s="25"/>
      <c r="G577" s="25"/>
    </row>
    <row r="578">
      <c r="B578" s="48"/>
      <c r="D578" s="25"/>
      <c r="F578" s="25"/>
      <c r="G578" s="25"/>
    </row>
    <row r="579">
      <c r="B579" s="48"/>
      <c r="D579" s="25"/>
      <c r="F579" s="25"/>
      <c r="G579" s="25"/>
    </row>
    <row r="580">
      <c r="B580" s="48"/>
      <c r="D580" s="25"/>
      <c r="F580" s="25"/>
      <c r="G580" s="25"/>
    </row>
    <row r="581">
      <c r="B581" s="48"/>
      <c r="D581" s="25"/>
      <c r="F581" s="25"/>
      <c r="G581" s="25"/>
    </row>
    <row r="582">
      <c r="B582" s="48"/>
      <c r="D582" s="25"/>
      <c r="F582" s="25"/>
      <c r="G582" s="25"/>
    </row>
    <row r="583">
      <c r="B583" s="48"/>
      <c r="D583" s="25"/>
      <c r="F583" s="25"/>
      <c r="G583" s="25"/>
    </row>
    <row r="584">
      <c r="B584" s="48"/>
      <c r="D584" s="25"/>
      <c r="F584" s="25"/>
      <c r="G584" s="25"/>
    </row>
    <row r="585">
      <c r="B585" s="48"/>
      <c r="D585" s="25"/>
      <c r="F585" s="25"/>
      <c r="G585" s="25"/>
    </row>
    <row r="586">
      <c r="B586" s="48"/>
      <c r="D586" s="25"/>
      <c r="F586" s="25"/>
      <c r="G586" s="25"/>
    </row>
    <row r="587">
      <c r="B587" s="48"/>
      <c r="D587" s="25"/>
      <c r="F587" s="25"/>
      <c r="G587" s="25"/>
    </row>
    <row r="588">
      <c r="B588" s="48"/>
      <c r="D588" s="25"/>
      <c r="F588" s="25"/>
      <c r="G588" s="25"/>
    </row>
    <row r="589">
      <c r="B589" s="48"/>
      <c r="D589" s="25"/>
      <c r="F589" s="25"/>
      <c r="G589" s="25"/>
    </row>
    <row r="590">
      <c r="B590" s="48"/>
      <c r="D590" s="25"/>
      <c r="F590" s="25"/>
      <c r="G590" s="25"/>
    </row>
    <row r="591">
      <c r="B591" s="48"/>
      <c r="D591" s="25"/>
      <c r="F591" s="25"/>
      <c r="G591" s="25"/>
    </row>
    <row r="592">
      <c r="B592" s="48"/>
      <c r="D592" s="25"/>
      <c r="F592" s="25"/>
      <c r="G592" s="25"/>
    </row>
    <row r="593">
      <c r="B593" s="48"/>
      <c r="D593" s="25"/>
      <c r="F593" s="25"/>
      <c r="G593" s="25"/>
    </row>
    <row r="594">
      <c r="B594" s="48"/>
      <c r="D594" s="25"/>
      <c r="F594" s="25"/>
      <c r="G594" s="25"/>
    </row>
    <row r="595">
      <c r="B595" s="48"/>
      <c r="D595" s="25"/>
      <c r="F595" s="25"/>
      <c r="G595" s="25"/>
    </row>
    <row r="596">
      <c r="B596" s="48"/>
      <c r="D596" s="25"/>
      <c r="F596" s="25"/>
      <c r="G596" s="25"/>
    </row>
    <row r="597">
      <c r="B597" s="48"/>
      <c r="D597" s="25"/>
      <c r="F597" s="25"/>
      <c r="G597" s="25"/>
    </row>
    <row r="598">
      <c r="B598" s="48"/>
      <c r="D598" s="25"/>
      <c r="F598" s="25"/>
      <c r="G598" s="25"/>
    </row>
    <row r="599">
      <c r="B599" s="48"/>
      <c r="D599" s="25"/>
      <c r="F599" s="25"/>
      <c r="G599" s="25"/>
    </row>
    <row r="600">
      <c r="B600" s="48"/>
      <c r="D600" s="25"/>
      <c r="F600" s="25"/>
      <c r="G600" s="25"/>
    </row>
    <row r="601">
      <c r="B601" s="48"/>
      <c r="D601" s="25"/>
      <c r="F601" s="25"/>
      <c r="G601" s="25"/>
    </row>
    <row r="602">
      <c r="B602" s="48"/>
      <c r="D602" s="25"/>
      <c r="F602" s="25"/>
      <c r="G602" s="25"/>
    </row>
    <row r="603">
      <c r="B603" s="48"/>
      <c r="D603" s="25"/>
      <c r="F603" s="25"/>
      <c r="G603" s="25"/>
    </row>
    <row r="604">
      <c r="B604" s="48"/>
      <c r="D604" s="25"/>
      <c r="F604" s="25"/>
      <c r="G604" s="25"/>
    </row>
    <row r="605">
      <c r="B605" s="48"/>
      <c r="D605" s="25"/>
      <c r="F605" s="25"/>
      <c r="G605" s="25"/>
    </row>
    <row r="606">
      <c r="B606" s="48"/>
      <c r="D606" s="25"/>
      <c r="F606" s="25"/>
      <c r="G606" s="25"/>
    </row>
    <row r="607">
      <c r="B607" s="48"/>
      <c r="D607" s="25"/>
      <c r="F607" s="25"/>
      <c r="G607" s="25"/>
    </row>
    <row r="608">
      <c r="B608" s="48"/>
      <c r="D608" s="25"/>
      <c r="F608" s="25"/>
      <c r="G608" s="25"/>
    </row>
    <row r="609">
      <c r="B609" s="48"/>
      <c r="D609" s="25"/>
      <c r="F609" s="25"/>
      <c r="G609" s="25"/>
    </row>
    <row r="610">
      <c r="B610" s="48"/>
      <c r="D610" s="25"/>
      <c r="F610" s="25"/>
      <c r="G610" s="25"/>
    </row>
    <row r="611">
      <c r="B611" s="48"/>
      <c r="D611" s="25"/>
      <c r="F611" s="25"/>
      <c r="G611" s="25"/>
    </row>
    <row r="612">
      <c r="B612" s="48"/>
      <c r="D612" s="25"/>
      <c r="F612" s="25"/>
      <c r="G612" s="25"/>
    </row>
    <row r="613">
      <c r="B613" s="48"/>
      <c r="D613" s="25"/>
      <c r="F613" s="25"/>
      <c r="G613" s="25"/>
    </row>
    <row r="614">
      <c r="B614" s="48"/>
      <c r="D614" s="25"/>
      <c r="F614" s="25"/>
      <c r="G614" s="25"/>
    </row>
    <row r="615">
      <c r="B615" s="48"/>
      <c r="D615" s="25"/>
      <c r="F615" s="25"/>
      <c r="G615" s="25"/>
    </row>
    <row r="616">
      <c r="B616" s="48"/>
      <c r="D616" s="25"/>
      <c r="F616" s="25"/>
      <c r="G616" s="25"/>
    </row>
    <row r="617">
      <c r="B617" s="48"/>
      <c r="D617" s="25"/>
      <c r="F617" s="25"/>
      <c r="G617" s="25"/>
    </row>
    <row r="618">
      <c r="B618" s="48"/>
      <c r="D618" s="25"/>
      <c r="F618" s="25"/>
      <c r="G618" s="25"/>
    </row>
    <row r="619">
      <c r="B619" s="48"/>
      <c r="D619" s="25"/>
      <c r="F619" s="25"/>
      <c r="G619" s="25"/>
    </row>
    <row r="620">
      <c r="B620" s="48"/>
      <c r="D620" s="25"/>
      <c r="F620" s="25"/>
      <c r="G620" s="25"/>
    </row>
    <row r="621">
      <c r="B621" s="48"/>
      <c r="D621" s="25"/>
      <c r="F621" s="25"/>
      <c r="G621" s="25"/>
    </row>
    <row r="622">
      <c r="B622" s="48"/>
      <c r="D622" s="25"/>
      <c r="F622" s="25"/>
      <c r="G622" s="25"/>
    </row>
  </sheetData>
  <drawing r:id="rId1"/>
</worksheet>
</file>