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B" sheetId="1" r:id="rId4"/>
    <sheet state="visible" name="TOTAL DIARIO" sheetId="2" r:id="rId5"/>
    <sheet state="visible" name="DIA" sheetId="3" r:id="rId6"/>
    <sheet state="visible" name="BADTRIP" sheetId="4" r:id="rId7"/>
    <sheet state="visible" name="NIXAMALA" sheetId="5" r:id="rId8"/>
    <sheet state="visible" name="SAIHOU" sheetId="6" r:id="rId9"/>
    <sheet state="visible" name="TERNUROIDES" sheetId="7" r:id="rId10"/>
    <sheet state="visible" name="STICKYCLAU" sheetId="8" r:id="rId11"/>
    <sheet state="visible" name="CUARTO" sheetId="9" r:id="rId12"/>
    <sheet state="visible" name="MILEN" sheetId="10" r:id="rId13"/>
    <sheet state="visible" name="ZERODOS" sheetId="11" r:id="rId14"/>
    <sheet state="visible" name="TITEREMANIA" sheetId="12" r:id="rId15"/>
    <sheet state="visible" name="TENSHI" sheetId="13" r:id="rId16"/>
    <sheet state="visible" name="CHILL" sheetId="14" r:id="rId17"/>
    <sheet state="visible" name="LOSTO" sheetId="15" r:id="rId18"/>
    <sheet state="visible" name="DULCE" sheetId="16" r:id="rId19"/>
    <sheet state="visible" name="B" sheetId="17" r:id="rId20"/>
    <sheet state="visible" name="C" sheetId="18" r:id="rId21"/>
  </sheets>
  <externalReferences>
    <externalReference r:id="rId22"/>
  </externalReferences>
  <definedNames/>
  <calcPr/>
  <extLst>
    <ext uri="GoogleSheetsCustomDataVersion2">
      <go:sheetsCustomData xmlns:go="http://customooxmlschemas.google.com/" r:id="rId23" roundtripDataChecksum="TD0Ft6R3o8+iRLKzyI7ObsY8PQ8KITsc531os01hjm8="/>
    </ext>
  </extLst>
</workbook>
</file>

<file path=xl/sharedStrings.xml><?xml version="1.0" encoding="utf-8"?>
<sst xmlns="http://schemas.openxmlformats.org/spreadsheetml/2006/main" count="362" uniqueCount="34">
  <si>
    <t>PRODUCTO</t>
  </si>
  <si>
    <t>TIENDA</t>
  </si>
  <si>
    <t>VALOR</t>
  </si>
  <si>
    <t>CANTIDAD</t>
  </si>
  <si>
    <t>TOTAL</t>
  </si>
  <si>
    <t>COMENTARIO</t>
  </si>
  <si>
    <t>FINAL EFECTIVO</t>
  </si>
  <si>
    <t>TOTAL TIENDA</t>
  </si>
  <si>
    <t>TOTAL IVA</t>
  </si>
  <si>
    <t>TOTAL SUMUP</t>
  </si>
  <si>
    <t>TOTAL FINAL</t>
  </si>
  <si>
    <t>CAJA INICIAL</t>
  </si>
  <si>
    <t>VENTAS EFECTIVO</t>
  </si>
  <si>
    <t>CAJA FINAL</t>
  </si>
  <si>
    <t>CAJA DESCONTADA</t>
  </si>
  <si>
    <t>MANUAL</t>
  </si>
  <si>
    <t>EFECTIVO</t>
  </si>
  <si>
    <t>ARTICULO</t>
  </si>
  <si>
    <t>METODO</t>
  </si>
  <si>
    <t>IVA</t>
  </si>
  <si>
    <t>TOTAL S.I</t>
  </si>
  <si>
    <t>TOTAL DIARIO</t>
  </si>
  <si>
    <t>cosita</t>
  </si>
  <si>
    <t>TOTALES DIARIOS EFECTIVO</t>
  </si>
  <si>
    <t>SUMUP</t>
  </si>
  <si>
    <t>% SUMUP</t>
  </si>
  <si>
    <t>TOTAL SIN SUM-IVA</t>
  </si>
  <si>
    <t>TOTAL SIN SUMUP</t>
  </si>
  <si>
    <t>casotia sumupo</t>
  </si>
  <si>
    <t>TOTAL DIARIO SUMUP</t>
  </si>
  <si>
    <t>TOTAL S.I.S</t>
  </si>
  <si>
    <t>TOTAL VENTA</t>
  </si>
  <si>
    <t>FINAL SUMUP</t>
  </si>
  <si>
    <t>casotia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</si>
</sst>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[$$-340A]* #,##0.00_ ;_ [$$-340A]* \-#,##0.00_ ;_ [$$-340A]* &quot;-&quot;??_ ;_ @_ "/>
    <numFmt numFmtId="165" formatCode="&quot;$&quot;#,##0.00"/>
    <numFmt numFmtId="166" formatCode="[$$]#,##0"/>
    <numFmt numFmtId="167" formatCode="&quot;$&quot;#,##0"/>
    <numFmt numFmtId="168" formatCode="_ [$$-340A]* #,##0_ ;_ [$$-340A]* \-#,##0_ ;_ [$$-340A]* &quot;-&quot;??_ ;_ @_ "/>
  </numFmts>
  <fonts count="9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9.0"/>
      <color rgb="FF000000"/>
      <name val="Arial"/>
    </font>
    <font>
      <sz val="11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674EA7"/>
        <bgColor rgb="FF674EA7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</fills>
  <borders count="49">
    <border/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right style="medium">
        <color rgb="FFCCCCCC"/>
      </right>
      <top/>
      <bottom/>
    </border>
    <border>
      <left style="thin">
        <color rgb="FF000000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thin">
        <color rgb="FF000000"/>
      </right>
      <bottom style="medium">
        <color rgb="FFCCCCCC"/>
      </bottom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medium">
        <color rgb="FFCCCCCC"/>
      </right>
      <top style="medium">
        <color rgb="FFCCCCCC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000000"/>
      </bottom>
    </border>
    <border>
      <left style="medium">
        <color rgb="FFCCCCCC"/>
      </left>
      <right style="thin">
        <color rgb="FF000000"/>
      </right>
      <top style="medium">
        <color rgb="FFCCCCCC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</border>
    <border>
      <right style="medium">
        <color rgb="FFCCCCCC"/>
      </right>
    </border>
    <border>
      <left style="medium">
        <color rgb="FFCCCCCC"/>
      </left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thin">
        <color rgb="FFF4CCCC"/>
      </left>
      <right style="thin">
        <color rgb="FFF4CCCC"/>
      </right>
      <bottom style="thin">
        <color rgb="FFF4CCCC"/>
      </bottom>
    </border>
    <border>
      <right style="thin">
        <color rgb="FF000000"/>
      </right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F4CCCC"/>
      </right>
      <top style="thin">
        <color rgb="FFF4CCCC"/>
      </top>
    </border>
    <border>
      <left style="thin">
        <color rgb="FFF4CCCC"/>
      </left>
      <right style="thin">
        <color rgb="FFF4CCCC"/>
      </right>
      <top style="thin">
        <color rgb="FFF4CCCC"/>
      </top>
    </border>
    <border>
      <left style="thin">
        <color rgb="FFF4CCCC"/>
      </left>
      <top style="thin">
        <color rgb="FFF4CCCC"/>
      </top>
    </border>
    <border>
      <left style="thin">
        <color rgb="FF000000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right style="thin">
        <color rgb="FF000000"/>
      </right>
      <top style="medium">
        <color rgb="FFCCCCCC"/>
      </top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2" fontId="2" numFmtId="0" xfId="0" applyBorder="1" applyFill="1" applyFont="1"/>
    <xf borderId="2" fillId="3" fontId="2" numFmtId="0" xfId="0" applyBorder="1" applyFill="1" applyFont="1"/>
    <xf borderId="3" fillId="3" fontId="2" numFmtId="0" xfId="0" applyBorder="1" applyFont="1"/>
    <xf borderId="3" fillId="4" fontId="2" numFmtId="0" xfId="0" applyBorder="1" applyFill="1" applyFont="1"/>
    <xf borderId="4" fillId="5" fontId="2" numFmtId="0" xfId="0" applyBorder="1" applyFill="1" applyFont="1"/>
    <xf borderId="0" fillId="0" fontId="2" numFmtId="0" xfId="0" applyFont="1"/>
    <xf borderId="0" fillId="5" fontId="2" numFmtId="0" xfId="0" applyFont="1"/>
    <xf borderId="5" fillId="0" fontId="1" numFmtId="0" xfId="0" applyBorder="1" applyFont="1"/>
    <xf borderId="0" fillId="0" fontId="2" numFmtId="164" xfId="0" applyFont="1" applyNumberFormat="1"/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Font="1" applyNumberFormat="1"/>
    <xf borderId="6" fillId="0" fontId="1" numFmtId="0" xfId="0" applyBorder="1" applyFont="1"/>
    <xf borderId="7" fillId="0" fontId="2" numFmtId="164" xfId="0" applyBorder="1" applyFont="1" applyNumberFormat="1"/>
    <xf borderId="7" fillId="0" fontId="1" numFmtId="0" xfId="0" applyBorder="1" applyFont="1"/>
    <xf borderId="8" fillId="6" fontId="1" numFmtId="0" xfId="0" applyBorder="1" applyFill="1" applyFont="1"/>
    <xf borderId="9" fillId="6" fontId="1" numFmtId="0" xfId="0" applyBorder="1" applyFont="1"/>
    <xf borderId="9" fillId="6" fontId="1" numFmtId="165" xfId="0" applyBorder="1" applyFont="1" applyNumberFormat="1"/>
    <xf borderId="10" fillId="7" fontId="3" numFmtId="0" xfId="0" applyBorder="1" applyFill="1" applyFont="1"/>
    <xf borderId="0" fillId="0" fontId="1" numFmtId="165" xfId="0" applyFont="1" applyNumberFormat="1"/>
    <xf borderId="11" fillId="4" fontId="2" numFmtId="0" xfId="0" applyBorder="1" applyFont="1"/>
    <xf borderId="12" fillId="7" fontId="2" numFmtId="0" xfId="0" applyBorder="1" applyFont="1"/>
    <xf borderId="11" fillId="8" fontId="2" numFmtId="0" xfId="0" applyBorder="1" applyFill="1" applyFont="1"/>
    <xf borderId="11" fillId="8" fontId="1" numFmtId="0" xfId="0" applyBorder="1" applyFont="1"/>
    <xf borderId="13" fillId="7" fontId="2" numFmtId="0" xfId="0" applyBorder="1" applyFont="1"/>
    <xf borderId="10" fillId="7" fontId="2" numFmtId="0" xfId="0" applyBorder="1" applyFont="1"/>
    <xf borderId="11" fillId="0" fontId="1" numFmtId="164" xfId="0" applyBorder="1" applyFont="1" applyNumberFormat="1"/>
    <xf borderId="11" fillId="0" fontId="1" numFmtId="0" xfId="0" applyBorder="1" applyFont="1"/>
    <xf borderId="11" fillId="9" fontId="4" numFmtId="0" xfId="0" applyBorder="1" applyFill="1" applyFont="1"/>
    <xf borderId="0" fillId="7" fontId="1" numFmtId="0" xfId="0" applyFont="1"/>
    <xf borderId="0" fillId="0" fontId="1" numFmtId="166" xfId="0" applyFont="1" applyNumberFormat="1"/>
    <xf borderId="11" fillId="10" fontId="5" numFmtId="0" xfId="0" applyAlignment="1" applyBorder="1" applyFill="1" applyFont="1">
      <alignment horizontal="left" shrinkToFit="0" wrapText="1"/>
    </xf>
    <xf borderId="0" fillId="7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1" fillId="11" fontId="6" numFmtId="0" xfId="0" applyAlignment="1" applyBorder="1" applyFill="1" applyFont="1">
      <alignment shrinkToFit="0" wrapText="1"/>
    </xf>
    <xf borderId="11" fillId="3" fontId="2" numFmtId="0" xfId="0" applyAlignment="1" applyBorder="1" applyFont="1">
      <alignment shrinkToFit="0" wrapText="1"/>
    </xf>
    <xf borderId="11" fillId="4" fontId="2" numFmtId="0" xfId="0" applyAlignment="1" applyBorder="1" applyFont="1">
      <alignment shrinkToFit="0" wrapText="1"/>
    </xf>
    <xf borderId="11" fillId="12" fontId="2" numFmtId="0" xfId="0" applyAlignment="1" applyBorder="1" applyFill="1" applyFont="1">
      <alignment shrinkToFit="0" wrapText="1"/>
    </xf>
    <xf borderId="11" fillId="2" fontId="2" numFmtId="0" xfId="0" applyAlignment="1" applyBorder="1" applyFont="1">
      <alignment shrinkToFit="0" wrapText="1"/>
    </xf>
    <xf borderId="11" fillId="5" fontId="2" numFmtId="0" xfId="0" applyAlignment="1" applyBorder="1" applyFont="1">
      <alignment shrinkToFit="0" wrapText="1"/>
    </xf>
    <xf borderId="11" fillId="13" fontId="2" numFmtId="0" xfId="0" applyAlignment="1" applyBorder="1" applyFill="1" applyFont="1">
      <alignment shrinkToFit="0" wrapText="1"/>
    </xf>
    <xf borderId="14" fillId="7" fontId="2" numFmtId="0" xfId="0" applyAlignment="1" applyBorder="1" applyFont="1">
      <alignment shrinkToFit="0" wrapText="1"/>
    </xf>
    <xf borderId="15" fillId="0" fontId="2" numFmtId="0" xfId="0" applyAlignment="1" applyBorder="1" applyFont="1">
      <alignment readingOrder="0" shrinkToFit="0" wrapText="1"/>
    </xf>
    <xf borderId="16" fillId="0" fontId="2" numFmtId="0" xfId="0" applyAlignment="1" applyBorder="1" applyFont="1">
      <alignment horizontal="right" readingOrder="0" shrinkToFit="0" wrapText="1"/>
    </xf>
    <xf borderId="16" fillId="0" fontId="2" numFmtId="0" xfId="0" applyAlignment="1" applyBorder="1" applyFont="1">
      <alignment shrinkToFit="0" wrapText="1"/>
    </xf>
    <xf borderId="16" fillId="0" fontId="2" numFmtId="164" xfId="0" applyAlignment="1" applyBorder="1" applyFont="1" applyNumberFormat="1">
      <alignment horizontal="right" shrinkToFit="0" wrapText="1"/>
    </xf>
    <xf borderId="17" fillId="0" fontId="2" numFmtId="164" xfId="0" applyAlignment="1" applyBorder="1" applyFont="1" applyNumberFormat="1">
      <alignment horizontal="right" shrinkToFit="0" wrapText="1"/>
    </xf>
    <xf borderId="11" fillId="0" fontId="2" numFmtId="164" xfId="0" applyAlignment="1" applyBorder="1" applyFont="1" applyNumberFormat="1">
      <alignment horizontal="right" shrinkToFit="0" wrapText="1"/>
    </xf>
    <xf borderId="18" fillId="0" fontId="2" numFmtId="0" xfId="0" applyAlignment="1" applyBorder="1" applyFont="1">
      <alignment shrinkToFit="0" wrapText="1"/>
    </xf>
    <xf borderId="19" fillId="0" fontId="2" numFmtId="0" xfId="0" applyAlignment="1" applyBorder="1" applyFont="1">
      <alignment horizontal="right" shrinkToFit="0" wrapText="1"/>
    </xf>
    <xf borderId="19" fillId="0" fontId="2" numFmtId="0" xfId="0" applyAlignment="1" applyBorder="1" applyFont="1">
      <alignment shrinkToFit="0" wrapText="1"/>
    </xf>
    <xf borderId="19" fillId="0" fontId="2" numFmtId="164" xfId="0" applyAlignment="1" applyBorder="1" applyFont="1" applyNumberFormat="1">
      <alignment horizontal="right" shrinkToFit="0" wrapText="1"/>
    </xf>
    <xf borderId="20" fillId="0" fontId="2" numFmtId="164" xfId="0" applyAlignment="1" applyBorder="1" applyFont="1" applyNumberFormat="1">
      <alignment horizontal="right" shrinkToFit="0" wrapText="1"/>
    </xf>
    <xf borderId="0" fillId="0" fontId="3" numFmtId="0" xfId="0" applyAlignment="1" applyFont="1">
      <alignment shrinkToFit="0" wrapText="1"/>
    </xf>
    <xf borderId="0" fillId="0" fontId="2" numFmtId="167" xfId="0" applyAlignment="1" applyFont="1" applyNumberFormat="1">
      <alignment horizontal="right"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vertical="center"/>
    </xf>
    <xf borderId="21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horizontal="right" shrinkToFit="0" wrapText="1"/>
    </xf>
    <xf borderId="22" fillId="0" fontId="2" numFmtId="0" xfId="0" applyAlignment="1" applyBorder="1" applyFont="1">
      <alignment shrinkToFit="0" wrapText="1"/>
    </xf>
    <xf borderId="23" fillId="0" fontId="2" numFmtId="164" xfId="0" applyAlignment="1" applyBorder="1" applyFont="1" applyNumberFormat="1">
      <alignment horizontal="right" shrinkToFit="0" wrapText="1"/>
    </xf>
    <xf borderId="24" fillId="0" fontId="2" numFmtId="164" xfId="0" applyAlignment="1" applyBorder="1" applyFont="1" applyNumberFormat="1">
      <alignment horizontal="right" shrinkToFit="0" wrapText="1"/>
    </xf>
    <xf borderId="0" fillId="14" fontId="3" numFmtId="0" xfId="0" applyAlignment="1" applyFill="1" applyFont="1">
      <alignment shrinkToFit="0" wrapText="1"/>
    </xf>
    <xf borderId="9" fillId="15" fontId="2" numFmtId="0" xfId="0" applyAlignment="1" applyBorder="1" applyFill="1" applyFont="1">
      <alignment shrinkToFit="0" wrapText="1"/>
    </xf>
    <xf borderId="25" fillId="15" fontId="2" numFmtId="0" xfId="0" applyAlignment="1" applyBorder="1" applyFont="1">
      <alignment shrinkToFit="0" wrapText="1"/>
    </xf>
    <xf borderId="25" fillId="16" fontId="2" numFmtId="164" xfId="0" applyAlignment="1" applyBorder="1" applyFill="1" applyFont="1" applyNumberFormat="1">
      <alignment shrinkToFit="0" wrapText="1"/>
    </xf>
    <xf borderId="11" fillId="16" fontId="2" numFmtId="164" xfId="0" applyAlignment="1" applyBorder="1" applyFont="1" applyNumberFormat="1">
      <alignment shrinkToFit="0" wrapText="1"/>
    </xf>
    <xf borderId="11" fillId="10" fontId="3" numFmtId="0" xfId="0" applyAlignment="1" applyBorder="1" applyFont="1">
      <alignment shrinkToFit="0" wrapText="1"/>
    </xf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8" fillId="5" fontId="2" numFmtId="0" xfId="0" applyAlignment="1" applyBorder="1" applyFont="1">
      <alignment shrinkToFit="0" wrapText="1"/>
    </xf>
    <xf borderId="11" fillId="17" fontId="2" numFmtId="0" xfId="0" applyAlignment="1" applyBorder="1" applyFill="1" applyFont="1">
      <alignment shrinkToFit="0" wrapText="1"/>
    </xf>
    <xf borderId="25" fillId="17" fontId="2" numFmtId="0" xfId="0" applyAlignment="1" applyBorder="1" applyFont="1">
      <alignment shrinkToFit="0" wrapText="1"/>
    </xf>
    <xf borderId="29" fillId="0" fontId="2" numFmtId="164" xfId="0" applyAlignment="1" applyBorder="1" applyFont="1" applyNumberFormat="1">
      <alignment horizontal="right" shrinkToFit="0" wrapText="1"/>
    </xf>
    <xf borderId="30" fillId="0" fontId="2" numFmtId="164" xfId="0" applyAlignment="1" applyBorder="1" applyFont="1" applyNumberFormat="1">
      <alignment horizontal="right" shrinkToFit="0" wrapText="1"/>
    </xf>
    <xf borderId="31" fillId="7" fontId="7" numFmtId="164" xfId="0" applyAlignment="1" applyBorder="1" applyFont="1" applyNumberFormat="1">
      <alignment horizontal="left"/>
    </xf>
    <xf borderId="32" fillId="0" fontId="2" numFmtId="168" xfId="0" applyAlignment="1" applyBorder="1" applyFont="1" applyNumberFormat="1">
      <alignment horizontal="right" shrinkToFit="0" wrapText="1"/>
    </xf>
    <xf borderId="33" fillId="0" fontId="2" numFmtId="164" xfId="0" applyAlignment="1" applyBorder="1" applyFont="1" applyNumberFormat="1">
      <alignment horizontal="right" shrinkToFit="0" wrapText="1"/>
    </xf>
    <xf borderId="34" fillId="0" fontId="2" numFmtId="164" xfId="0" applyAlignment="1" applyBorder="1" applyFont="1" applyNumberFormat="1">
      <alignment horizontal="right" shrinkToFit="0" wrapText="1"/>
    </xf>
    <xf borderId="35" fillId="7" fontId="7" numFmtId="164" xfId="0" applyAlignment="1" applyBorder="1" applyFont="1" applyNumberFormat="1">
      <alignment horizontal="left"/>
    </xf>
    <xf borderId="36" fillId="0" fontId="2" numFmtId="168" xfId="0" applyAlignment="1" applyBorder="1" applyFont="1" applyNumberFormat="1">
      <alignment horizontal="right" shrinkToFit="0" wrapText="1"/>
    </xf>
    <xf borderId="37" fillId="0" fontId="2" numFmtId="0" xfId="0" applyAlignment="1" applyBorder="1" applyFont="1">
      <alignment shrinkToFit="0" vertical="bottom" wrapText="1"/>
    </xf>
    <xf borderId="38" fillId="0" fontId="2" numFmtId="0" xfId="0" applyAlignment="1" applyBorder="1" applyFont="1">
      <alignment horizontal="right" shrinkToFit="0" vertical="bottom" wrapText="1"/>
    </xf>
    <xf borderId="39" fillId="0" fontId="2" numFmtId="0" xfId="0" applyAlignment="1" applyBorder="1" applyFont="1">
      <alignment horizontal="right" shrinkToFit="0" vertical="bottom" wrapText="1"/>
    </xf>
    <xf borderId="38" fillId="0" fontId="2" numFmtId="0" xfId="0" applyAlignment="1" applyBorder="1" applyFont="1">
      <alignment shrinkToFit="0" vertical="bottom" wrapText="1"/>
    </xf>
    <xf borderId="40" fillId="0" fontId="2" numFmtId="0" xfId="0" applyAlignment="1" applyBorder="1" applyFont="1">
      <alignment shrinkToFit="0" wrapText="1"/>
    </xf>
    <xf borderId="22" fillId="0" fontId="2" numFmtId="164" xfId="0" applyAlignment="1" applyBorder="1" applyFont="1" applyNumberFormat="1">
      <alignment horizontal="right" shrinkToFit="0" wrapText="1"/>
    </xf>
    <xf borderId="41" fillId="0" fontId="2" numFmtId="164" xfId="0" applyAlignment="1" applyBorder="1" applyFont="1" applyNumberFormat="1">
      <alignment horizontal="right" shrinkToFit="0" wrapText="1"/>
    </xf>
    <xf borderId="38" fillId="7" fontId="7" numFmtId="164" xfId="0" applyAlignment="1" applyBorder="1" applyFont="1" applyNumberFormat="1">
      <alignment horizontal="left"/>
    </xf>
    <xf borderId="42" fillId="0" fontId="2" numFmtId="168" xfId="0" applyAlignment="1" applyBorder="1" applyFont="1" applyNumberFormat="1">
      <alignment horizontal="right" shrinkToFit="0" wrapText="1"/>
    </xf>
    <xf borderId="43" fillId="0" fontId="2" numFmtId="168" xfId="0" applyAlignment="1" applyBorder="1" applyFont="1" applyNumberFormat="1">
      <alignment horizontal="right" shrinkToFit="0" wrapText="1"/>
    </xf>
    <xf borderId="8" fillId="15" fontId="4" numFmtId="0" xfId="0" applyBorder="1" applyFont="1"/>
    <xf borderId="9" fillId="15" fontId="1" numFmtId="0" xfId="0" applyBorder="1" applyFont="1"/>
    <xf borderId="25" fillId="15" fontId="1" numFmtId="0" xfId="0" applyBorder="1" applyFont="1"/>
    <xf borderId="11" fillId="16" fontId="1" numFmtId="164" xfId="0" applyBorder="1" applyFont="1" applyNumberFormat="1"/>
    <xf borderId="0" fillId="18" fontId="2" numFmtId="0" xfId="0" applyAlignment="1" applyFill="1" applyFont="1">
      <alignment shrinkToFit="0" wrapText="1"/>
    </xf>
    <xf borderId="0" fillId="2" fontId="2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10" fontId="1" numFmtId="0" xfId="0" applyFont="1"/>
    <xf borderId="0" fillId="10" fontId="2" numFmtId="0" xfId="0" applyAlignment="1" applyFont="1">
      <alignment vertical="bottom"/>
    </xf>
    <xf borderId="3" fillId="5" fontId="2" numFmtId="0" xfId="0" applyBorder="1" applyFont="1"/>
    <xf borderId="44" fillId="5" fontId="2" numFmtId="0" xfId="0" applyBorder="1" applyFont="1"/>
    <xf borderId="45" fillId="2" fontId="2" numFmtId="0" xfId="0" applyAlignment="1" applyBorder="1" applyFont="1">
      <alignment vertical="bottom"/>
    </xf>
    <xf borderId="46" fillId="3" fontId="2" numFmtId="0" xfId="0" applyAlignment="1" applyBorder="1" applyFont="1">
      <alignment vertical="bottom"/>
    </xf>
    <xf borderId="46" fillId="4" fontId="2" numFmtId="0" xfId="0" applyAlignment="1" applyBorder="1" applyFont="1">
      <alignment vertical="bottom"/>
    </xf>
    <xf borderId="46" fillId="5" fontId="2" numFmtId="0" xfId="0" applyAlignment="1" applyBorder="1" applyFont="1">
      <alignment vertical="bottom"/>
    </xf>
    <xf borderId="47" fillId="19" fontId="2" numFmtId="0" xfId="0" applyBorder="1" applyFill="1" applyFont="1"/>
    <xf borderId="10" fillId="5" fontId="2" numFmtId="0" xfId="0" applyBorder="1" applyFont="1"/>
    <xf borderId="0" fillId="7" fontId="8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43" fillId="0" fontId="2" numFmtId="164" xfId="0" applyBorder="1" applyFont="1" applyNumberFormat="1"/>
    <xf borderId="5" fillId="7" fontId="8" numFmtId="0" xfId="0" applyAlignment="1" applyBorder="1" applyFont="1">
      <alignment horizontal="left"/>
    </xf>
    <xf borderId="0" fillId="7" fontId="8" numFmtId="0" xfId="0" applyAlignment="1" applyFont="1">
      <alignment horizontal="left"/>
    </xf>
    <xf borderId="5" fillId="0" fontId="2" numFmtId="0" xfId="0" applyAlignment="1" applyBorder="1" applyFont="1">
      <alignment vertical="bottom"/>
    </xf>
    <xf borderId="48" fillId="0" fontId="2" numFmtId="164" xfId="0" applyBorder="1" applyFont="1" applyNumberFormat="1"/>
    <xf borderId="9" fillId="6" fontId="1" numFmtId="164" xfId="0" applyBorder="1" applyFont="1" applyNumberFormat="1"/>
    <xf borderId="25" fillId="6" fontId="1" numFmtId="164" xfId="0" applyBorder="1" applyFont="1" applyNumberFormat="1"/>
    <xf borderId="9" fillId="6" fontId="2" numFmtId="164" xfId="0" applyBorder="1" applyFont="1" applyNumberFormat="1"/>
    <xf borderId="9" fillId="6" fontId="2" numFmtId="164" xfId="0" applyAlignment="1" applyBorder="1" applyFont="1" applyNumberFormat="1">
      <alignment horizontal="right" vertical="bottom"/>
    </xf>
    <xf borderId="5" fillId="7" fontId="8" numFmtId="0" xfId="0" applyAlignment="1" applyBorder="1" applyFont="1">
      <alignment horizontal="left" readingOrder="0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13JUN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DTRIP"/>
      <sheetName val="NIXAMALA"/>
      <sheetName val="ENCENS"/>
      <sheetName val="TIENDAB"/>
      <sheetName val="TIENDAC"/>
      <sheetName val="TIENDAD"/>
      <sheetName val="TIENDAE"/>
      <sheetName val="TOTAL DIA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2.57"/>
    <col customWidth="1" min="7" max="7" width="88.29"/>
    <col customWidth="1" min="8" max="8" width="3.0"/>
    <col customWidth="1" min="9" max="9" width="10.86"/>
    <col customWidth="1" min="10" max="10" width="7.57"/>
    <col customWidth="1" min="11" max="11" width="10.29"/>
    <col customWidth="1" min="12" max="14" width="12.43"/>
    <col customWidth="1" min="15" max="15" width="11.14"/>
    <col customWidth="1" min="16" max="16" width="2.57"/>
    <col customWidth="1" min="17" max="17" width="13.29"/>
    <col customWidth="1" min="18" max="18" width="10.71"/>
    <col customWidth="1" min="19" max="19" width="12.86"/>
    <col customWidth="1" min="20" max="20" width="12.43"/>
    <col customWidth="1" min="21" max="31" width="10.71"/>
  </cols>
  <sheetData>
    <row r="1">
      <c r="A1" s="1"/>
      <c r="I1" s="2"/>
      <c r="J1" s="2"/>
      <c r="K1" s="2"/>
      <c r="L1" s="2"/>
      <c r="M1" s="2"/>
      <c r="N1" s="2"/>
    </row>
    <row r="2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8"/>
      <c r="G2" s="9" t="s">
        <v>5</v>
      </c>
      <c r="H2" s="8"/>
      <c r="I2" s="2"/>
      <c r="J2" s="2"/>
      <c r="K2" s="2"/>
      <c r="L2" s="2"/>
      <c r="M2" s="2"/>
      <c r="N2" s="2"/>
      <c r="O2" s="8"/>
      <c r="P2" s="8"/>
      <c r="Q2" s="8"/>
      <c r="R2" s="8"/>
      <c r="S2" s="8"/>
      <c r="T2" s="8"/>
    </row>
    <row r="3">
      <c r="A3" s="10"/>
      <c r="B3" s="11"/>
      <c r="C3" s="11"/>
      <c r="D3" s="1"/>
      <c r="E3" s="11">
        <f t="shared" ref="E3:E38" si="1">C3*D3</f>
        <v>0</v>
      </c>
      <c r="F3" s="11"/>
      <c r="G3" s="11"/>
      <c r="I3" s="2"/>
      <c r="J3" s="12"/>
      <c r="K3" s="2"/>
      <c r="L3" s="13"/>
      <c r="M3" s="13"/>
      <c r="N3" s="13"/>
      <c r="O3" s="11"/>
      <c r="P3" s="11"/>
      <c r="Q3" s="11"/>
      <c r="R3" s="11"/>
      <c r="S3" s="11"/>
      <c r="T3" s="14"/>
    </row>
    <row r="4">
      <c r="A4" s="10"/>
      <c r="B4" s="11"/>
      <c r="C4" s="11"/>
      <c r="D4" s="1"/>
      <c r="E4" s="11">
        <f t="shared" si="1"/>
        <v>0</v>
      </c>
      <c r="F4" s="11"/>
      <c r="G4" s="11"/>
      <c r="I4" s="2"/>
      <c r="J4" s="12"/>
      <c r="K4" s="2"/>
      <c r="L4" s="13"/>
      <c r="M4" s="13"/>
      <c r="N4" s="13"/>
      <c r="O4" s="11"/>
    </row>
    <row r="5">
      <c r="A5" s="10"/>
      <c r="B5" s="11"/>
      <c r="C5" s="11"/>
      <c r="D5" s="1"/>
      <c r="E5" s="11">
        <f t="shared" si="1"/>
        <v>0</v>
      </c>
      <c r="F5" s="11"/>
      <c r="G5" s="11"/>
      <c r="I5" s="2"/>
      <c r="J5" s="12"/>
      <c r="K5" s="2"/>
      <c r="L5" s="13"/>
      <c r="M5" s="13"/>
      <c r="N5" s="13"/>
      <c r="O5" s="11"/>
    </row>
    <row r="6">
      <c r="A6" s="10"/>
      <c r="B6" s="11"/>
      <c r="C6" s="11"/>
      <c r="D6" s="1"/>
      <c r="E6" s="11">
        <f t="shared" si="1"/>
        <v>0</v>
      </c>
      <c r="F6" s="11"/>
      <c r="G6" s="11"/>
      <c r="I6" s="2"/>
      <c r="J6" s="12"/>
      <c r="K6" s="2"/>
      <c r="L6" s="13"/>
      <c r="M6" s="13"/>
      <c r="N6" s="13"/>
      <c r="O6" s="11"/>
    </row>
    <row r="7">
      <c r="A7" s="10"/>
      <c r="B7" s="11"/>
      <c r="C7" s="11"/>
      <c r="D7" s="1"/>
      <c r="E7" s="11">
        <f t="shared" si="1"/>
        <v>0</v>
      </c>
      <c r="F7" s="11"/>
      <c r="G7" s="11"/>
      <c r="I7" s="2"/>
      <c r="J7" s="12"/>
      <c r="K7" s="2"/>
      <c r="L7" s="13"/>
      <c r="M7" s="13"/>
      <c r="N7" s="13"/>
      <c r="O7" s="11"/>
    </row>
    <row r="8">
      <c r="A8" s="10"/>
      <c r="B8" s="11"/>
      <c r="C8" s="11"/>
      <c r="D8" s="1"/>
      <c r="E8" s="11">
        <f t="shared" si="1"/>
        <v>0</v>
      </c>
      <c r="F8" s="11"/>
      <c r="G8" s="11"/>
      <c r="I8" s="2"/>
      <c r="J8" s="12"/>
      <c r="K8" s="2"/>
      <c r="L8" s="13"/>
      <c r="M8" s="13"/>
      <c r="N8" s="13"/>
      <c r="O8" s="11"/>
    </row>
    <row r="9">
      <c r="A9" s="10"/>
      <c r="B9" s="11"/>
      <c r="C9" s="11"/>
      <c r="D9" s="1"/>
      <c r="E9" s="11">
        <f t="shared" si="1"/>
        <v>0</v>
      </c>
      <c r="F9" s="11"/>
      <c r="G9" s="11"/>
      <c r="I9" s="2"/>
      <c r="J9" s="12"/>
      <c r="K9" s="2"/>
      <c r="L9" s="13"/>
      <c r="M9" s="13"/>
      <c r="N9" s="13"/>
      <c r="O9" s="11"/>
    </row>
    <row r="10">
      <c r="A10" s="10"/>
      <c r="B10" s="11"/>
      <c r="C10" s="11"/>
      <c r="D10" s="1"/>
      <c r="E10" s="11">
        <f t="shared" si="1"/>
        <v>0</v>
      </c>
      <c r="F10" s="11"/>
      <c r="G10" s="11"/>
      <c r="I10" s="2"/>
      <c r="J10" s="12"/>
      <c r="K10" s="2"/>
      <c r="L10" s="13"/>
      <c r="M10" s="13"/>
      <c r="N10" s="13"/>
      <c r="O10" s="11"/>
    </row>
    <row r="11">
      <c r="A11" s="10"/>
      <c r="B11" s="11"/>
      <c r="C11" s="11"/>
      <c r="D11" s="1"/>
      <c r="E11" s="11">
        <f t="shared" si="1"/>
        <v>0</v>
      </c>
      <c r="F11" s="11"/>
      <c r="G11" s="11"/>
      <c r="I11" s="2"/>
      <c r="J11" s="12"/>
      <c r="K11" s="2"/>
      <c r="L11" s="13"/>
      <c r="M11" s="13"/>
      <c r="N11" s="13"/>
      <c r="O11" s="11"/>
    </row>
    <row r="12">
      <c r="A12" s="10"/>
      <c r="B12" s="11"/>
      <c r="C12" s="11"/>
      <c r="D12" s="1"/>
      <c r="E12" s="11">
        <f t="shared" si="1"/>
        <v>0</v>
      </c>
      <c r="F12" s="11"/>
      <c r="G12" s="11"/>
      <c r="I12" s="2"/>
      <c r="J12" s="12"/>
      <c r="K12" s="2"/>
      <c r="L12" s="13"/>
      <c r="M12" s="13"/>
      <c r="N12" s="13"/>
      <c r="O12" s="11"/>
    </row>
    <row r="13">
      <c r="A13" s="10"/>
      <c r="B13" s="11"/>
      <c r="C13" s="11"/>
      <c r="D13" s="1"/>
      <c r="E13" s="11">
        <f t="shared" si="1"/>
        <v>0</v>
      </c>
      <c r="F13" s="11"/>
      <c r="G13" s="11"/>
      <c r="I13" s="2"/>
      <c r="J13" s="12"/>
      <c r="K13" s="2"/>
      <c r="L13" s="13"/>
      <c r="M13" s="13"/>
      <c r="N13" s="13"/>
      <c r="O13" s="11"/>
    </row>
    <row r="14">
      <c r="A14" s="10"/>
      <c r="B14" s="11"/>
      <c r="C14" s="11"/>
      <c r="D14" s="1"/>
      <c r="E14" s="11">
        <f t="shared" si="1"/>
        <v>0</v>
      </c>
      <c r="F14" s="11"/>
      <c r="G14" s="11"/>
      <c r="I14" s="2"/>
      <c r="J14" s="12"/>
      <c r="K14" s="2"/>
      <c r="L14" s="13"/>
      <c r="M14" s="13"/>
      <c r="N14" s="13"/>
      <c r="O14" s="11"/>
    </row>
    <row r="15">
      <c r="A15" s="10"/>
      <c r="B15" s="11"/>
      <c r="C15" s="11"/>
      <c r="D15" s="1"/>
      <c r="E15" s="11">
        <f t="shared" si="1"/>
        <v>0</v>
      </c>
      <c r="F15" s="11"/>
      <c r="G15" s="11"/>
      <c r="I15" s="2"/>
      <c r="J15" s="12"/>
      <c r="K15" s="2"/>
      <c r="L15" s="13"/>
      <c r="M15" s="13"/>
      <c r="N15" s="13"/>
      <c r="O15" s="11"/>
    </row>
    <row r="16">
      <c r="A16" s="10"/>
      <c r="B16" s="11"/>
      <c r="C16" s="11"/>
      <c r="D16" s="1"/>
      <c r="E16" s="11">
        <f t="shared" si="1"/>
        <v>0</v>
      </c>
      <c r="F16" s="11"/>
      <c r="G16" s="11"/>
      <c r="I16" s="2"/>
      <c r="J16" s="12"/>
      <c r="K16" s="2"/>
      <c r="L16" s="13"/>
      <c r="M16" s="13"/>
      <c r="N16" s="13"/>
      <c r="O16" s="11"/>
    </row>
    <row r="17">
      <c r="A17" s="10"/>
      <c r="B17" s="11"/>
      <c r="C17" s="11"/>
      <c r="D17" s="1"/>
      <c r="E17" s="11">
        <f t="shared" si="1"/>
        <v>0</v>
      </c>
      <c r="F17" s="11"/>
      <c r="G17" s="11"/>
      <c r="I17" s="2"/>
      <c r="J17" s="12"/>
      <c r="K17" s="2"/>
      <c r="L17" s="13"/>
      <c r="M17" s="13"/>
      <c r="N17" s="13"/>
      <c r="O17" s="11"/>
    </row>
    <row r="18">
      <c r="A18" s="10"/>
      <c r="B18" s="11"/>
      <c r="C18" s="11"/>
      <c r="D18" s="1"/>
      <c r="E18" s="11">
        <f t="shared" si="1"/>
        <v>0</v>
      </c>
      <c r="F18" s="11"/>
      <c r="G18" s="11"/>
      <c r="I18" s="2"/>
      <c r="J18" s="12"/>
      <c r="K18" s="2"/>
      <c r="L18" s="13"/>
      <c r="M18" s="13"/>
      <c r="N18" s="13"/>
      <c r="O18" s="11"/>
    </row>
    <row r="19">
      <c r="A19" s="10"/>
      <c r="B19" s="11"/>
      <c r="C19" s="11"/>
      <c r="E19" s="11">
        <f t="shared" si="1"/>
        <v>0</v>
      </c>
      <c r="F19" s="11"/>
      <c r="G19" s="11"/>
      <c r="I19" s="2"/>
      <c r="J19" s="12"/>
      <c r="K19" s="2"/>
      <c r="L19" s="13"/>
      <c r="M19" s="13"/>
      <c r="N19" s="13"/>
      <c r="O19" s="11"/>
    </row>
    <row r="20">
      <c r="A20" s="10"/>
      <c r="B20" s="11"/>
      <c r="C20" s="11"/>
      <c r="E20" s="11">
        <f t="shared" si="1"/>
        <v>0</v>
      </c>
      <c r="F20" s="11"/>
      <c r="G20" s="11"/>
      <c r="I20" s="2"/>
      <c r="J20" s="12"/>
      <c r="K20" s="2"/>
      <c r="L20" s="13"/>
      <c r="M20" s="13"/>
      <c r="N20" s="13"/>
      <c r="O20" s="11"/>
    </row>
    <row r="21" ht="15.75" customHeight="1">
      <c r="A21" s="10"/>
      <c r="B21" s="11"/>
      <c r="C21" s="11"/>
      <c r="E21" s="11">
        <f t="shared" si="1"/>
        <v>0</v>
      </c>
      <c r="F21" s="11"/>
      <c r="G21" s="11"/>
      <c r="I21" s="2"/>
      <c r="J21" s="12"/>
      <c r="K21" s="2"/>
      <c r="L21" s="13"/>
      <c r="M21" s="13"/>
      <c r="N21" s="13"/>
      <c r="O21" s="11"/>
    </row>
    <row r="22" ht="15.75" customHeight="1">
      <c r="A22" s="10"/>
      <c r="B22" s="11"/>
      <c r="C22" s="11"/>
      <c r="E22" s="11">
        <f t="shared" si="1"/>
        <v>0</v>
      </c>
      <c r="F22" s="11"/>
      <c r="G22" s="11"/>
      <c r="I22" s="2"/>
      <c r="J22" s="12"/>
      <c r="K22" s="2"/>
      <c r="L22" s="13"/>
      <c r="M22" s="13"/>
      <c r="N22" s="13"/>
      <c r="O22" s="11"/>
    </row>
    <row r="23" ht="15.75" customHeight="1">
      <c r="A23" s="10"/>
      <c r="B23" s="11"/>
      <c r="C23" s="11"/>
      <c r="E23" s="11">
        <f t="shared" si="1"/>
        <v>0</v>
      </c>
      <c r="F23" s="11"/>
      <c r="G23" s="11"/>
      <c r="I23" s="2"/>
      <c r="J23" s="12"/>
      <c r="K23" s="2"/>
      <c r="L23" s="13"/>
      <c r="M23" s="13"/>
      <c r="N23" s="13"/>
      <c r="O23" s="11"/>
    </row>
    <row r="24" ht="15.75" customHeight="1">
      <c r="A24" s="10"/>
      <c r="B24" s="11"/>
      <c r="C24" s="11"/>
      <c r="E24" s="11">
        <f t="shared" si="1"/>
        <v>0</v>
      </c>
      <c r="F24" s="11"/>
      <c r="G24" s="11"/>
      <c r="I24" s="2"/>
      <c r="J24" s="12"/>
      <c r="K24" s="2"/>
      <c r="L24" s="13"/>
      <c r="M24" s="13"/>
      <c r="N24" s="13"/>
      <c r="O24" s="11"/>
    </row>
    <row r="25" ht="15.75" customHeight="1">
      <c r="A25" s="10"/>
      <c r="B25" s="11"/>
      <c r="C25" s="11"/>
      <c r="E25" s="11">
        <f t="shared" si="1"/>
        <v>0</v>
      </c>
      <c r="F25" s="11"/>
      <c r="G25" s="11"/>
      <c r="I25" s="2"/>
      <c r="J25" s="12"/>
      <c r="K25" s="2"/>
      <c r="L25" s="13"/>
      <c r="M25" s="13"/>
      <c r="N25" s="13"/>
      <c r="O25" s="11"/>
    </row>
    <row r="26" ht="15.75" customHeight="1">
      <c r="A26" s="10"/>
      <c r="B26" s="11"/>
      <c r="C26" s="11"/>
      <c r="E26" s="11">
        <f t="shared" si="1"/>
        <v>0</v>
      </c>
      <c r="F26" s="11"/>
      <c r="G26" s="11"/>
      <c r="I26" s="2"/>
      <c r="J26" s="12"/>
      <c r="K26" s="2"/>
      <c r="L26" s="13"/>
      <c r="M26" s="13"/>
      <c r="N26" s="13"/>
      <c r="O26" s="11"/>
    </row>
    <row r="27" ht="15.75" customHeight="1">
      <c r="A27" s="10"/>
      <c r="B27" s="11"/>
      <c r="C27" s="11"/>
      <c r="E27" s="11">
        <f t="shared" si="1"/>
        <v>0</v>
      </c>
      <c r="F27" s="11"/>
      <c r="G27" s="11"/>
      <c r="I27" s="2"/>
      <c r="J27" s="12"/>
      <c r="K27" s="2"/>
      <c r="L27" s="13"/>
      <c r="M27" s="13"/>
      <c r="N27" s="13"/>
      <c r="O27" s="11"/>
    </row>
    <row r="28" ht="15.75" customHeight="1">
      <c r="A28" s="10"/>
      <c r="B28" s="11"/>
      <c r="C28" s="11"/>
      <c r="E28" s="11">
        <f t="shared" si="1"/>
        <v>0</v>
      </c>
      <c r="F28" s="11"/>
      <c r="G28" s="11"/>
      <c r="I28" s="2"/>
      <c r="J28" s="12"/>
      <c r="K28" s="2"/>
      <c r="L28" s="13"/>
      <c r="M28" s="13"/>
      <c r="N28" s="13"/>
      <c r="O28" s="11"/>
    </row>
    <row r="29" ht="15.75" customHeight="1">
      <c r="A29" s="10"/>
      <c r="B29" s="11"/>
      <c r="C29" s="11"/>
      <c r="E29" s="11">
        <f t="shared" si="1"/>
        <v>0</v>
      </c>
      <c r="F29" s="11"/>
      <c r="G29" s="11"/>
      <c r="I29" s="2"/>
      <c r="J29" s="12"/>
      <c r="K29" s="2"/>
      <c r="L29" s="13"/>
      <c r="M29" s="13"/>
      <c r="N29" s="13"/>
      <c r="O29" s="11"/>
    </row>
    <row r="30" ht="15.75" customHeight="1">
      <c r="A30" s="10"/>
      <c r="B30" s="11"/>
      <c r="C30" s="11"/>
      <c r="E30" s="11">
        <f t="shared" si="1"/>
        <v>0</v>
      </c>
      <c r="F30" s="11"/>
      <c r="G30" s="11"/>
      <c r="I30" s="2"/>
      <c r="J30" s="12"/>
      <c r="K30" s="2"/>
      <c r="L30" s="13"/>
      <c r="M30" s="13"/>
      <c r="N30" s="13"/>
      <c r="O30" s="11"/>
    </row>
    <row r="31" ht="15.75" customHeight="1">
      <c r="A31" s="10"/>
      <c r="B31" s="11"/>
      <c r="C31" s="11"/>
      <c r="E31" s="11">
        <f t="shared" si="1"/>
        <v>0</v>
      </c>
      <c r="F31" s="11"/>
      <c r="G31" s="11"/>
      <c r="I31" s="2"/>
      <c r="J31" s="12"/>
      <c r="K31" s="2"/>
      <c r="L31" s="13"/>
      <c r="M31" s="13"/>
      <c r="N31" s="13"/>
      <c r="O31" s="11"/>
    </row>
    <row r="32" ht="15.75" customHeight="1">
      <c r="A32" s="10"/>
      <c r="B32" s="11"/>
      <c r="C32" s="11"/>
      <c r="E32" s="11">
        <f t="shared" si="1"/>
        <v>0</v>
      </c>
      <c r="F32" s="11"/>
      <c r="G32" s="11"/>
      <c r="I32" s="2"/>
      <c r="J32" s="12"/>
      <c r="K32" s="2"/>
      <c r="L32" s="13"/>
      <c r="M32" s="13"/>
      <c r="N32" s="13"/>
      <c r="O32" s="11"/>
    </row>
    <row r="33" ht="15.75" customHeight="1">
      <c r="A33" s="10"/>
      <c r="B33" s="11"/>
      <c r="C33" s="11"/>
      <c r="E33" s="11">
        <f t="shared" si="1"/>
        <v>0</v>
      </c>
      <c r="F33" s="11"/>
      <c r="G33" s="11"/>
      <c r="I33" s="2"/>
      <c r="J33" s="12"/>
      <c r="K33" s="2"/>
      <c r="L33" s="13"/>
      <c r="M33" s="13"/>
      <c r="N33" s="13"/>
      <c r="O33" s="11"/>
    </row>
    <row r="34" ht="15.75" customHeight="1">
      <c r="A34" s="10"/>
      <c r="B34" s="11"/>
      <c r="C34" s="11"/>
      <c r="E34" s="11">
        <f t="shared" si="1"/>
        <v>0</v>
      </c>
      <c r="F34" s="11"/>
      <c r="G34" s="11"/>
      <c r="I34" s="2"/>
      <c r="J34" s="12"/>
      <c r="K34" s="2"/>
      <c r="L34" s="13"/>
      <c r="M34" s="13"/>
      <c r="N34" s="13"/>
      <c r="O34" s="11"/>
    </row>
    <row r="35" ht="15.75" customHeight="1">
      <c r="A35" s="10"/>
      <c r="B35" s="11"/>
      <c r="C35" s="11"/>
      <c r="E35" s="11">
        <f t="shared" si="1"/>
        <v>0</v>
      </c>
      <c r="F35" s="11"/>
      <c r="G35" s="11"/>
      <c r="I35" s="2"/>
      <c r="J35" s="12"/>
      <c r="K35" s="2"/>
      <c r="L35" s="13"/>
      <c r="M35" s="13"/>
      <c r="N35" s="13"/>
      <c r="O35" s="11"/>
    </row>
    <row r="36" ht="15.75" customHeight="1">
      <c r="A36" s="10"/>
      <c r="B36" s="11"/>
      <c r="C36" s="11"/>
      <c r="E36" s="11">
        <f t="shared" si="1"/>
        <v>0</v>
      </c>
      <c r="F36" s="11"/>
      <c r="G36" s="11"/>
      <c r="I36" s="2"/>
      <c r="J36" s="12"/>
      <c r="K36" s="2"/>
      <c r="L36" s="13"/>
      <c r="M36" s="13"/>
      <c r="N36" s="13"/>
      <c r="O36" s="11"/>
    </row>
    <row r="37" ht="15.75" customHeight="1">
      <c r="A37" s="10"/>
      <c r="B37" s="11"/>
      <c r="C37" s="11"/>
      <c r="E37" s="11">
        <f t="shared" si="1"/>
        <v>0</v>
      </c>
      <c r="F37" s="11"/>
      <c r="G37" s="11"/>
      <c r="I37" s="2"/>
      <c r="J37" s="12"/>
      <c r="K37" s="2"/>
      <c r="L37" s="13"/>
      <c r="M37" s="13"/>
      <c r="N37" s="13"/>
      <c r="O37" s="11"/>
    </row>
    <row r="38" ht="15.75" customHeight="1">
      <c r="A38" s="15"/>
      <c r="B38" s="16"/>
      <c r="C38" s="16"/>
      <c r="D38" s="17"/>
      <c r="E38" s="16">
        <f t="shared" si="1"/>
        <v>0</v>
      </c>
      <c r="F38" s="11"/>
      <c r="G38" s="11"/>
      <c r="I38" s="2"/>
      <c r="J38" s="12"/>
      <c r="K38" s="2"/>
      <c r="L38" s="13"/>
      <c r="M38" s="13"/>
      <c r="N38" s="13"/>
      <c r="O38" s="11"/>
    </row>
    <row r="39" ht="15.75" customHeight="1">
      <c r="A39" s="18" t="s">
        <v>6</v>
      </c>
      <c r="B39" s="19"/>
      <c r="C39" s="19"/>
      <c r="D39" s="19"/>
      <c r="E39" s="20">
        <f>SUM(E2:E38)</f>
        <v>0</v>
      </c>
      <c r="F39" s="14"/>
      <c r="G39" s="14"/>
      <c r="I39" s="1"/>
      <c r="J39" s="11"/>
      <c r="K39" s="1"/>
      <c r="L39" s="11"/>
      <c r="M39" s="11"/>
      <c r="N39" s="13"/>
      <c r="O39" s="1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4.57"/>
    <col customWidth="1" min="3" max="3" width="14.29"/>
    <col customWidth="1" min="4" max="4" width="16.14"/>
    <col customWidth="1" min="5" max="5" width="3.71"/>
    <col customWidth="1" min="6" max="6" width="17.43"/>
    <col customWidth="1" min="7" max="7" width="18.14"/>
    <col customWidth="1" min="8" max="8" width="17.71"/>
    <col customWidth="1" min="9" max="9" width="18.71"/>
    <col customWidth="1" min="10" max="10" width="22.14"/>
    <col customWidth="1" min="11" max="11" width="16.29"/>
    <col customWidth="1" min="12" max="12" width="14.0"/>
    <col customWidth="1" min="13" max="27" width="10.71"/>
  </cols>
  <sheetData>
    <row r="1">
      <c r="A1" s="8"/>
      <c r="B1" s="8"/>
      <c r="C1" s="8"/>
      <c r="E1" s="21"/>
      <c r="J1" s="1"/>
      <c r="K1" s="22"/>
    </row>
    <row r="2">
      <c r="J2" s="1"/>
      <c r="K2" s="22"/>
    </row>
    <row r="3">
      <c r="A3" s="23" t="s">
        <v>7</v>
      </c>
      <c r="B3" s="23" t="s">
        <v>8</v>
      </c>
      <c r="C3" s="23" t="s">
        <v>9</v>
      </c>
      <c r="D3" s="23" t="s">
        <v>10</v>
      </c>
      <c r="E3" s="24"/>
      <c r="F3" s="25" t="s">
        <v>11</v>
      </c>
      <c r="G3" s="25" t="s">
        <v>12</v>
      </c>
      <c r="H3" s="26" t="s">
        <v>13</v>
      </c>
      <c r="I3" s="26" t="s">
        <v>14</v>
      </c>
      <c r="J3" s="27"/>
      <c r="K3" s="28"/>
      <c r="L3" s="28"/>
    </row>
    <row r="4">
      <c r="A4" s="29">
        <f>SUM(BADTRIP!P3)+(NIXAMALA!P3)+(SAIHOU!P3)+(TENSHI!P3)+(STICKYCLAU!P3)+(LOSTO!P3)+(B!P3)+(DULCE!P3)+(CUARTO!P3)+(TERNUROIDES!P3)+(MILEN!P3)+('C'!P3)+(ZERODOS!P3)+(CHILL!P3)+(TITEREMANIA!P3)</f>
        <v>4000</v>
      </c>
      <c r="B4" s="29">
        <f>SUM(BADTRIP!Q3)+(NIXAMALA!Q3)+(SAIHOU!Q3)+(TENSHI!Q3)+(STICKYCLAU!Q3)+(LOSTO!Q3)+(B!Q3)+(DULCE!Q3)+(CUARTO!Q3)+(TERNUROIDES!Q3)+(MILEN!Q3)+('C'!Q3)+(ZERODOS!Q3)+(CHILL!Q3)+(TITEREMANIA!Q3)</f>
        <v>760</v>
      </c>
      <c r="C4" s="29">
        <f>SUM(BADTRIP!R3)+(NIXAMALA!R3)+(SAIHOU!R3)+(TENSHI!R3)+(STICKYCLAU!R3)+(LOSTO!R3)+(B!R3)+(DULCE!R3)+(CUARTO!R3)+(TERNUROIDES!R3)+(MILEN!R3)+('C'!R3)+(ZERODOS!R3)+(CHILL!R3)+(TITEREMANIA!R3)</f>
        <v>69</v>
      </c>
      <c r="D4" s="29">
        <f>SUM(BADTRIP!S3)+(NIXAMALA!S3)+(SAIHOU!S3)+(TENSHI!S3)+(STICKYCLAU!S3)+(LOSTO!S3)+(B!S3)+(DULCE!S3)+(CUARTO!S3)+(TERNUROIDES!S3)+(MILEN!S3)+('C'!S3)+(ZERODOS!S3)+(CHILL!S3)+(TITEREMANIA!S3)</f>
        <v>3171</v>
      </c>
      <c r="E4" s="14"/>
      <c r="F4" s="29"/>
      <c r="G4" s="29">
        <f>(DIA!G58)</f>
        <v>2000</v>
      </c>
      <c r="H4" s="29">
        <f>F4+G4</f>
        <v>2000</v>
      </c>
      <c r="I4" s="30"/>
      <c r="J4" s="14"/>
      <c r="K4" s="14"/>
      <c r="L4" s="14"/>
    </row>
    <row r="5">
      <c r="F5" s="31" t="s">
        <v>15</v>
      </c>
      <c r="I5" s="31" t="s">
        <v>15</v>
      </c>
      <c r="J5" s="1"/>
      <c r="L5" s="1"/>
    </row>
    <row r="6">
      <c r="A6" s="32"/>
      <c r="J6" s="1"/>
      <c r="K6" s="33"/>
      <c r="L6" s="1"/>
    </row>
    <row r="7">
      <c r="A7" s="14"/>
      <c r="J7" s="28"/>
    </row>
    <row r="9">
      <c r="J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86"/>
    <col customWidth="1" min="3" max="5" width="10.71"/>
    <col customWidth="1" min="6" max="6" width="18.29"/>
    <col customWidth="1" min="7" max="10" width="10.71"/>
    <col customWidth="1" min="11" max="11" width="11.14"/>
    <col customWidth="1" min="12" max="12" width="10.14"/>
    <col customWidth="1" min="13" max="13" width="12.29"/>
    <col customWidth="1" min="14" max="14" width="12.14"/>
    <col customWidth="1" min="15" max="15" width="13.43"/>
    <col customWidth="1" min="16" max="26" width="10.71"/>
  </cols>
  <sheetData>
    <row r="2">
      <c r="B2" s="34" t="s">
        <v>16</v>
      </c>
      <c r="C2" s="35"/>
      <c r="D2" s="35"/>
      <c r="E2" s="35"/>
      <c r="F2" s="35"/>
      <c r="G2" s="35"/>
      <c r="H2" s="35"/>
      <c r="I2" s="35"/>
      <c r="J2" s="36"/>
      <c r="K2" s="36"/>
      <c r="L2" s="36"/>
      <c r="M2" s="36"/>
      <c r="N2" s="36"/>
    </row>
    <row r="3">
      <c r="B3" s="37" t="s">
        <v>17</v>
      </c>
      <c r="C3" s="38" t="s">
        <v>2</v>
      </c>
      <c r="D3" s="39" t="s">
        <v>3</v>
      </c>
      <c r="E3" s="40" t="s">
        <v>18</v>
      </c>
      <c r="F3" s="41" t="s">
        <v>5</v>
      </c>
      <c r="G3" s="42" t="s">
        <v>4</v>
      </c>
      <c r="H3" s="42" t="s">
        <v>19</v>
      </c>
      <c r="I3" s="42" t="s">
        <v>20</v>
      </c>
      <c r="J3" s="36"/>
      <c r="K3" s="42" t="s">
        <v>21</v>
      </c>
      <c r="L3" s="42" t="s">
        <v>8</v>
      </c>
      <c r="M3" s="42" t="s">
        <v>9</v>
      </c>
      <c r="N3" s="43" t="s">
        <v>10</v>
      </c>
      <c r="O3" s="44"/>
    </row>
    <row r="4">
      <c r="B4" s="45" t="s">
        <v>22</v>
      </c>
      <c r="C4" s="46">
        <v>2000.0</v>
      </c>
      <c r="D4" s="46">
        <v>1.0</v>
      </c>
      <c r="E4" s="47"/>
      <c r="F4" s="47"/>
      <c r="G4" s="48">
        <f t="shared" ref="G4:G57" si="2">C4*D4</f>
        <v>2000</v>
      </c>
      <c r="H4" s="48">
        <f t="shared" ref="H4:H57" si="3">G4*0.19</f>
        <v>380</v>
      </c>
      <c r="I4" s="49">
        <f t="shared" ref="I4:I57" si="4">G4-H4</f>
        <v>1620</v>
      </c>
      <c r="J4" s="36"/>
      <c r="K4" s="50">
        <f t="shared" ref="K4:L4" si="1">G58+G205</f>
        <v>4000</v>
      </c>
      <c r="L4" s="50">
        <f t="shared" si="1"/>
        <v>760</v>
      </c>
      <c r="M4" s="50">
        <f>SUM(I61:I204)</f>
        <v>69</v>
      </c>
      <c r="N4" s="50">
        <f>K4-L4-M4</f>
        <v>3171</v>
      </c>
      <c r="O4" s="11"/>
    </row>
    <row r="5">
      <c r="B5" s="51"/>
      <c r="C5" s="52"/>
      <c r="D5" s="52"/>
      <c r="E5" s="53"/>
      <c r="F5" s="53"/>
      <c r="G5" s="54">
        <f t="shared" si="2"/>
        <v>0</v>
      </c>
      <c r="H5" s="54">
        <f t="shared" si="3"/>
        <v>0</v>
      </c>
      <c r="I5" s="55">
        <f t="shared" si="4"/>
        <v>0</v>
      </c>
      <c r="J5" s="36"/>
      <c r="K5" s="36"/>
      <c r="L5" s="36"/>
      <c r="M5" s="36"/>
      <c r="N5" s="36"/>
    </row>
    <row r="6" ht="15.0" customHeight="1">
      <c r="B6" s="51"/>
      <c r="C6" s="52"/>
      <c r="D6" s="52"/>
      <c r="E6" s="53"/>
      <c r="F6" s="53"/>
      <c r="G6" s="54">
        <f t="shared" si="2"/>
        <v>0</v>
      </c>
      <c r="H6" s="54">
        <f t="shared" si="3"/>
        <v>0</v>
      </c>
      <c r="I6" s="55">
        <f t="shared" si="4"/>
        <v>0</v>
      </c>
      <c r="J6" s="36"/>
      <c r="K6" s="36"/>
      <c r="L6" s="35"/>
      <c r="M6" s="35"/>
      <c r="N6" s="35"/>
      <c r="O6" s="36"/>
    </row>
    <row r="7" ht="17.25" customHeight="1">
      <c r="B7" s="51"/>
      <c r="C7" s="52"/>
      <c r="D7" s="52"/>
      <c r="E7" s="53"/>
      <c r="F7" s="53"/>
      <c r="G7" s="54">
        <f t="shared" si="2"/>
        <v>0</v>
      </c>
      <c r="H7" s="54">
        <f t="shared" si="3"/>
        <v>0</v>
      </c>
      <c r="I7" s="55">
        <f t="shared" si="4"/>
        <v>0</v>
      </c>
      <c r="J7" s="36"/>
      <c r="K7" s="36"/>
      <c r="L7" s="36"/>
      <c r="M7" s="56"/>
      <c r="N7" s="57"/>
      <c r="O7" s="36"/>
    </row>
    <row r="8">
      <c r="B8" s="51"/>
      <c r="C8" s="52"/>
      <c r="D8" s="52"/>
      <c r="E8" s="53"/>
      <c r="F8" s="53"/>
      <c r="G8" s="54">
        <f t="shared" si="2"/>
        <v>0</v>
      </c>
      <c r="H8" s="54">
        <f t="shared" si="3"/>
        <v>0</v>
      </c>
      <c r="I8" s="55">
        <f t="shared" si="4"/>
        <v>0</v>
      </c>
      <c r="J8" s="36"/>
      <c r="K8" s="36"/>
      <c r="L8" s="36"/>
      <c r="M8" s="56"/>
      <c r="N8" s="58"/>
      <c r="O8" s="36"/>
    </row>
    <row r="9" ht="18.0" customHeight="1">
      <c r="B9" s="51"/>
      <c r="C9" s="52"/>
      <c r="D9" s="52"/>
      <c r="E9" s="53"/>
      <c r="F9" s="53"/>
      <c r="G9" s="54">
        <f t="shared" si="2"/>
        <v>0</v>
      </c>
      <c r="H9" s="54">
        <f t="shared" si="3"/>
        <v>0</v>
      </c>
      <c r="I9" s="55">
        <f t="shared" si="4"/>
        <v>0</v>
      </c>
      <c r="J9" s="36"/>
      <c r="K9" s="36"/>
      <c r="L9" s="36"/>
      <c r="M9" s="56"/>
      <c r="N9" s="58"/>
      <c r="O9" s="36"/>
    </row>
    <row r="10" ht="15.75" customHeight="1">
      <c r="B10" s="51"/>
      <c r="C10" s="52"/>
      <c r="D10" s="52"/>
      <c r="E10" s="53"/>
      <c r="F10" s="53"/>
      <c r="G10" s="54">
        <f t="shared" si="2"/>
        <v>0</v>
      </c>
      <c r="H10" s="54">
        <f t="shared" si="3"/>
        <v>0</v>
      </c>
      <c r="I10" s="55">
        <f t="shared" si="4"/>
        <v>0</v>
      </c>
      <c r="J10" s="36"/>
      <c r="K10" s="36"/>
      <c r="L10" s="36"/>
      <c r="M10" s="56"/>
      <c r="N10" s="58"/>
      <c r="O10" s="36"/>
    </row>
    <row r="11">
      <c r="B11" s="51"/>
      <c r="C11" s="52"/>
      <c r="D11" s="53"/>
      <c r="E11" s="53"/>
      <c r="F11" s="53"/>
      <c r="G11" s="54">
        <f t="shared" si="2"/>
        <v>0</v>
      </c>
      <c r="H11" s="54">
        <f t="shared" si="3"/>
        <v>0</v>
      </c>
      <c r="I11" s="55">
        <f t="shared" si="4"/>
        <v>0</v>
      </c>
      <c r="J11" s="36"/>
      <c r="K11" s="36"/>
      <c r="L11" s="36"/>
      <c r="M11" s="56"/>
      <c r="N11" s="58"/>
      <c r="O11" s="59"/>
    </row>
    <row r="12" ht="18.75" customHeight="1">
      <c r="B12" s="51"/>
      <c r="C12" s="52"/>
      <c r="D12" s="53"/>
      <c r="E12" s="53"/>
      <c r="F12" s="53"/>
      <c r="G12" s="54">
        <f t="shared" si="2"/>
        <v>0</v>
      </c>
      <c r="H12" s="54">
        <f t="shared" si="3"/>
        <v>0</v>
      </c>
      <c r="I12" s="55">
        <f t="shared" si="4"/>
        <v>0</v>
      </c>
      <c r="J12" s="36"/>
      <c r="K12" s="36"/>
      <c r="L12" s="36"/>
      <c r="M12" s="56"/>
      <c r="N12" s="58"/>
      <c r="O12" s="36"/>
    </row>
    <row r="13" ht="15.75" customHeight="1">
      <c r="B13" s="51"/>
      <c r="C13" s="52"/>
      <c r="D13" s="52"/>
      <c r="E13" s="53"/>
      <c r="F13" s="53"/>
      <c r="G13" s="54">
        <f t="shared" si="2"/>
        <v>0</v>
      </c>
      <c r="H13" s="54">
        <f t="shared" si="3"/>
        <v>0</v>
      </c>
      <c r="I13" s="55">
        <f t="shared" si="4"/>
        <v>0</v>
      </c>
      <c r="J13" s="36"/>
      <c r="K13" s="36"/>
      <c r="L13" s="36"/>
      <c r="M13" s="56"/>
      <c r="N13" s="58"/>
      <c r="O13" s="36"/>
    </row>
    <row r="14" ht="15.75" customHeight="1">
      <c r="B14" s="51"/>
      <c r="C14" s="52"/>
      <c r="D14" s="52"/>
      <c r="E14" s="53"/>
      <c r="F14" s="53"/>
      <c r="G14" s="54">
        <f t="shared" si="2"/>
        <v>0</v>
      </c>
      <c r="H14" s="54">
        <f t="shared" si="3"/>
        <v>0</v>
      </c>
      <c r="I14" s="55">
        <f t="shared" si="4"/>
        <v>0</v>
      </c>
      <c r="J14" s="36"/>
      <c r="K14" s="36"/>
      <c r="L14" s="36"/>
      <c r="M14" s="56"/>
      <c r="N14" s="58"/>
      <c r="O14" s="36"/>
    </row>
    <row r="15" ht="14.25" customHeight="1">
      <c r="B15" s="51"/>
      <c r="C15" s="52"/>
      <c r="D15" s="52"/>
      <c r="E15" s="53"/>
      <c r="F15" s="53"/>
      <c r="G15" s="54">
        <f t="shared" si="2"/>
        <v>0</v>
      </c>
      <c r="H15" s="54">
        <f t="shared" si="3"/>
        <v>0</v>
      </c>
      <c r="I15" s="55">
        <f t="shared" si="4"/>
        <v>0</v>
      </c>
      <c r="J15" s="36"/>
      <c r="K15" s="36"/>
      <c r="L15" s="36"/>
      <c r="M15" s="56"/>
      <c r="N15" s="58"/>
      <c r="O15" s="36"/>
    </row>
    <row r="16" ht="17.25" customHeight="1">
      <c r="B16" s="51"/>
      <c r="C16" s="52"/>
      <c r="D16" s="52"/>
      <c r="E16" s="53"/>
      <c r="F16" s="53"/>
      <c r="G16" s="54">
        <f t="shared" si="2"/>
        <v>0</v>
      </c>
      <c r="H16" s="54">
        <f t="shared" si="3"/>
        <v>0</v>
      </c>
      <c r="I16" s="55">
        <f t="shared" si="4"/>
        <v>0</v>
      </c>
      <c r="J16" s="36"/>
      <c r="K16" s="36"/>
      <c r="L16" s="36"/>
      <c r="M16" s="56"/>
      <c r="N16" s="58"/>
      <c r="O16" s="36"/>
    </row>
    <row r="17" ht="13.5" customHeight="1">
      <c r="B17" s="51"/>
      <c r="C17" s="52"/>
      <c r="D17" s="52"/>
      <c r="E17" s="53"/>
      <c r="F17" s="53"/>
      <c r="G17" s="54">
        <f t="shared" si="2"/>
        <v>0</v>
      </c>
      <c r="H17" s="54">
        <f t="shared" si="3"/>
        <v>0</v>
      </c>
      <c r="I17" s="55">
        <f t="shared" si="4"/>
        <v>0</v>
      </c>
      <c r="J17" s="36"/>
      <c r="K17" s="36"/>
      <c r="L17" s="36"/>
      <c r="M17" s="56"/>
      <c r="N17" s="36"/>
      <c r="O17" s="36"/>
    </row>
    <row r="18">
      <c r="B18" s="51"/>
      <c r="C18" s="52"/>
      <c r="D18" s="52"/>
      <c r="E18" s="53"/>
      <c r="F18" s="53"/>
      <c r="G18" s="54">
        <f t="shared" si="2"/>
        <v>0</v>
      </c>
      <c r="H18" s="54">
        <f t="shared" si="3"/>
        <v>0</v>
      </c>
      <c r="I18" s="55">
        <f t="shared" si="4"/>
        <v>0</v>
      </c>
      <c r="J18" s="36"/>
      <c r="K18" s="36"/>
      <c r="L18" s="56"/>
      <c r="M18" s="56"/>
      <c r="N18" s="36"/>
      <c r="O18" s="36"/>
    </row>
    <row r="19" ht="15.75" customHeight="1">
      <c r="B19" s="51"/>
      <c r="C19" s="52"/>
      <c r="D19" s="52"/>
      <c r="E19" s="53"/>
      <c r="F19" s="53"/>
      <c r="G19" s="54">
        <f t="shared" si="2"/>
        <v>0</v>
      </c>
      <c r="H19" s="54">
        <f t="shared" si="3"/>
        <v>0</v>
      </c>
      <c r="I19" s="55">
        <f t="shared" si="4"/>
        <v>0</v>
      </c>
      <c r="J19" s="36"/>
      <c r="K19" s="36"/>
      <c r="L19" s="36"/>
      <c r="M19" s="56"/>
      <c r="N19" s="58"/>
      <c r="O19" s="36"/>
    </row>
    <row r="20">
      <c r="B20" s="51"/>
      <c r="C20" s="52"/>
      <c r="D20" s="53"/>
      <c r="E20" s="53"/>
      <c r="F20" s="53"/>
      <c r="G20" s="54">
        <f t="shared" si="2"/>
        <v>0</v>
      </c>
      <c r="H20" s="54">
        <f t="shared" si="3"/>
        <v>0</v>
      </c>
      <c r="I20" s="55">
        <f t="shared" si="4"/>
        <v>0</v>
      </c>
      <c r="J20" s="36"/>
      <c r="K20" s="36"/>
      <c r="L20" s="36"/>
      <c r="M20" s="56"/>
      <c r="N20" s="58"/>
      <c r="O20" s="36"/>
    </row>
    <row r="21" ht="15.75" customHeight="1">
      <c r="B21" s="51"/>
      <c r="C21" s="52"/>
      <c r="D21" s="53"/>
      <c r="E21" s="53"/>
      <c r="F21" s="53"/>
      <c r="G21" s="54">
        <f t="shared" si="2"/>
        <v>0</v>
      </c>
      <c r="H21" s="54">
        <f t="shared" si="3"/>
        <v>0</v>
      </c>
      <c r="I21" s="55">
        <f t="shared" si="4"/>
        <v>0</v>
      </c>
      <c r="J21" s="36"/>
      <c r="K21" s="36"/>
      <c r="L21" s="36"/>
      <c r="M21" s="56"/>
      <c r="N21" s="58"/>
      <c r="O21" s="36"/>
    </row>
    <row r="22" ht="15.75" customHeight="1">
      <c r="B22" s="51"/>
      <c r="C22" s="52"/>
      <c r="D22" s="53"/>
      <c r="E22" s="53"/>
      <c r="F22" s="53"/>
      <c r="G22" s="54">
        <f t="shared" si="2"/>
        <v>0</v>
      </c>
      <c r="H22" s="54">
        <f t="shared" si="3"/>
        <v>0</v>
      </c>
      <c r="I22" s="55">
        <f t="shared" si="4"/>
        <v>0</v>
      </c>
      <c r="J22" s="36"/>
      <c r="K22" s="36"/>
      <c r="L22" s="36"/>
      <c r="M22" s="56"/>
      <c r="N22" s="58"/>
      <c r="O22" s="36"/>
    </row>
    <row r="23" ht="18.0" customHeight="1">
      <c r="B23" s="51"/>
      <c r="C23" s="52"/>
      <c r="D23" s="53"/>
      <c r="E23" s="53"/>
      <c r="F23" s="53"/>
      <c r="G23" s="54">
        <f t="shared" si="2"/>
        <v>0</v>
      </c>
      <c r="H23" s="54">
        <f t="shared" si="3"/>
        <v>0</v>
      </c>
      <c r="I23" s="55">
        <f t="shared" si="4"/>
        <v>0</v>
      </c>
      <c r="J23" s="36"/>
      <c r="K23" s="36"/>
      <c r="L23" s="36"/>
      <c r="M23" s="56"/>
      <c r="N23" s="58"/>
      <c r="O23" s="36"/>
    </row>
    <row r="24" ht="15.0" customHeight="1">
      <c r="B24" s="51"/>
      <c r="C24" s="52"/>
      <c r="D24" s="52"/>
      <c r="E24" s="53"/>
      <c r="F24" s="53"/>
      <c r="G24" s="54">
        <f t="shared" si="2"/>
        <v>0</v>
      </c>
      <c r="H24" s="54">
        <f t="shared" si="3"/>
        <v>0</v>
      </c>
      <c r="I24" s="55">
        <f t="shared" si="4"/>
        <v>0</v>
      </c>
      <c r="J24" s="36"/>
      <c r="K24" s="36"/>
      <c r="L24" s="36"/>
      <c r="M24" s="56"/>
      <c r="N24" s="58"/>
      <c r="O24" s="36"/>
    </row>
    <row r="25" ht="14.25" customHeight="1">
      <c r="B25" s="51"/>
      <c r="C25" s="52"/>
      <c r="D25" s="52"/>
      <c r="E25" s="53"/>
      <c r="F25" s="53"/>
      <c r="G25" s="54">
        <f t="shared" si="2"/>
        <v>0</v>
      </c>
      <c r="H25" s="54">
        <f t="shared" si="3"/>
        <v>0</v>
      </c>
      <c r="I25" s="55">
        <f t="shared" si="4"/>
        <v>0</v>
      </c>
      <c r="J25" s="36"/>
      <c r="K25" s="36"/>
      <c r="L25" s="36"/>
      <c r="M25" s="56"/>
      <c r="N25" s="58"/>
      <c r="O25" s="36"/>
    </row>
    <row r="26" ht="15.75" customHeight="1">
      <c r="B26" s="51"/>
      <c r="C26" s="52"/>
      <c r="D26" s="52"/>
      <c r="E26" s="53"/>
      <c r="F26" s="53"/>
      <c r="G26" s="54">
        <f t="shared" si="2"/>
        <v>0</v>
      </c>
      <c r="H26" s="54">
        <f t="shared" si="3"/>
        <v>0</v>
      </c>
      <c r="I26" s="55">
        <f t="shared" si="4"/>
        <v>0</v>
      </c>
      <c r="J26" s="36"/>
      <c r="K26" s="36"/>
      <c r="L26" s="36"/>
      <c r="M26" s="56"/>
      <c r="N26" s="58"/>
      <c r="O26" s="36"/>
    </row>
    <row r="27" ht="15.75" customHeight="1">
      <c r="B27" s="51"/>
      <c r="C27" s="52"/>
      <c r="D27" s="52"/>
      <c r="E27" s="53"/>
      <c r="F27" s="53"/>
      <c r="G27" s="54">
        <f t="shared" si="2"/>
        <v>0</v>
      </c>
      <c r="H27" s="54">
        <f t="shared" si="3"/>
        <v>0</v>
      </c>
      <c r="I27" s="55">
        <f t="shared" si="4"/>
        <v>0</v>
      </c>
      <c r="J27" s="36"/>
      <c r="K27" s="36"/>
      <c r="L27" s="36"/>
      <c r="M27" s="56"/>
      <c r="N27" s="59"/>
      <c r="O27" s="36"/>
    </row>
    <row r="28" ht="15.75" customHeight="1">
      <c r="B28" s="51"/>
      <c r="C28" s="52"/>
      <c r="D28" s="52"/>
      <c r="E28" s="53"/>
      <c r="F28" s="53"/>
      <c r="G28" s="54">
        <f t="shared" si="2"/>
        <v>0</v>
      </c>
      <c r="H28" s="54">
        <f t="shared" si="3"/>
        <v>0</v>
      </c>
      <c r="I28" s="55">
        <f t="shared" si="4"/>
        <v>0</v>
      </c>
      <c r="J28" s="36"/>
      <c r="K28" s="36"/>
      <c r="L28" s="35"/>
      <c r="M28" s="36"/>
      <c r="N28" s="36"/>
    </row>
    <row r="29" ht="17.25" customHeight="1">
      <c r="B29" s="51"/>
      <c r="C29" s="52"/>
      <c r="D29" s="52"/>
      <c r="E29" s="53"/>
      <c r="F29" s="53"/>
      <c r="G29" s="54">
        <f t="shared" si="2"/>
        <v>0</v>
      </c>
      <c r="H29" s="54">
        <f t="shared" si="3"/>
        <v>0</v>
      </c>
      <c r="I29" s="55">
        <f t="shared" si="4"/>
        <v>0</v>
      </c>
      <c r="J29" s="36"/>
      <c r="K29" s="36"/>
      <c r="L29" s="35"/>
      <c r="M29" s="35"/>
      <c r="N29" s="36"/>
    </row>
    <row r="30" ht="18.0" customHeight="1">
      <c r="B30" s="51"/>
      <c r="C30" s="52"/>
      <c r="D30" s="52"/>
      <c r="E30" s="53"/>
      <c r="F30" s="53"/>
      <c r="G30" s="54">
        <f t="shared" si="2"/>
        <v>0</v>
      </c>
      <c r="H30" s="54">
        <f t="shared" si="3"/>
        <v>0</v>
      </c>
      <c r="I30" s="55">
        <f t="shared" si="4"/>
        <v>0</v>
      </c>
      <c r="J30" s="36"/>
      <c r="K30" s="36"/>
      <c r="L30" s="36"/>
      <c r="M30" s="56"/>
      <c r="N30" s="58"/>
    </row>
    <row r="31" ht="15.75" customHeight="1">
      <c r="B31" s="51"/>
      <c r="C31" s="52"/>
      <c r="D31" s="52"/>
      <c r="E31" s="53"/>
      <c r="F31" s="53"/>
      <c r="G31" s="54">
        <f t="shared" si="2"/>
        <v>0</v>
      </c>
      <c r="H31" s="54">
        <f t="shared" si="3"/>
        <v>0</v>
      </c>
      <c r="I31" s="55">
        <f t="shared" si="4"/>
        <v>0</v>
      </c>
      <c r="J31" s="36"/>
      <c r="K31" s="36"/>
      <c r="L31" s="36"/>
      <c r="M31" s="56"/>
      <c r="N31" s="58"/>
    </row>
    <row r="32" ht="19.5" customHeight="1">
      <c r="B32" s="51"/>
      <c r="C32" s="52"/>
      <c r="D32" s="52"/>
      <c r="E32" s="53"/>
      <c r="F32" s="53"/>
      <c r="G32" s="54">
        <f t="shared" si="2"/>
        <v>0</v>
      </c>
      <c r="H32" s="54">
        <f t="shared" si="3"/>
        <v>0</v>
      </c>
      <c r="I32" s="55">
        <f t="shared" si="4"/>
        <v>0</v>
      </c>
      <c r="J32" s="36"/>
      <c r="K32" s="36"/>
      <c r="L32" s="36"/>
      <c r="M32" s="56"/>
      <c r="N32" s="58"/>
    </row>
    <row r="33" ht="18.0" customHeight="1">
      <c r="B33" s="51"/>
      <c r="C33" s="52"/>
      <c r="D33" s="53"/>
      <c r="E33" s="53"/>
      <c r="F33" s="53"/>
      <c r="G33" s="54">
        <f t="shared" si="2"/>
        <v>0</v>
      </c>
      <c r="H33" s="54">
        <f t="shared" si="3"/>
        <v>0</v>
      </c>
      <c r="I33" s="55">
        <f t="shared" si="4"/>
        <v>0</v>
      </c>
      <c r="J33" s="36"/>
      <c r="K33" s="36"/>
      <c r="L33" s="36"/>
      <c r="M33" s="56"/>
      <c r="N33" s="58"/>
    </row>
    <row r="34" ht="18.0" customHeight="1">
      <c r="B34" s="51"/>
      <c r="C34" s="52"/>
      <c r="D34" s="53"/>
      <c r="E34" s="53"/>
      <c r="F34" s="53"/>
      <c r="G34" s="54">
        <f t="shared" si="2"/>
        <v>0</v>
      </c>
      <c r="H34" s="54">
        <f t="shared" si="3"/>
        <v>0</v>
      </c>
      <c r="I34" s="55">
        <f t="shared" si="4"/>
        <v>0</v>
      </c>
      <c r="J34" s="36"/>
      <c r="K34" s="36"/>
      <c r="L34" s="36"/>
      <c r="M34" s="56"/>
      <c r="N34" s="58"/>
    </row>
    <row r="35" ht="15.75" customHeight="1">
      <c r="B35" s="51"/>
      <c r="C35" s="52"/>
      <c r="D35" s="53"/>
      <c r="E35" s="53"/>
      <c r="F35" s="53"/>
      <c r="G35" s="54">
        <f t="shared" si="2"/>
        <v>0</v>
      </c>
      <c r="H35" s="54">
        <f t="shared" si="3"/>
        <v>0</v>
      </c>
      <c r="I35" s="55">
        <f t="shared" si="4"/>
        <v>0</v>
      </c>
      <c r="J35" s="36"/>
      <c r="K35" s="36"/>
      <c r="L35" s="36"/>
      <c r="M35" s="56"/>
      <c r="N35" s="58"/>
    </row>
    <row r="36" ht="20.25" customHeight="1">
      <c r="B36" s="51"/>
      <c r="C36" s="52"/>
      <c r="D36" s="53"/>
      <c r="E36" s="53"/>
      <c r="F36" s="53"/>
      <c r="G36" s="54">
        <f t="shared" si="2"/>
        <v>0</v>
      </c>
      <c r="H36" s="54">
        <f t="shared" si="3"/>
        <v>0</v>
      </c>
      <c r="I36" s="55">
        <f t="shared" si="4"/>
        <v>0</v>
      </c>
      <c r="J36" s="36"/>
      <c r="K36" s="36"/>
      <c r="L36" s="36"/>
      <c r="M36" s="56"/>
      <c r="N36" s="58"/>
    </row>
    <row r="37" ht="15.75" customHeight="1">
      <c r="B37" s="51"/>
      <c r="C37" s="52"/>
      <c r="D37" s="53"/>
      <c r="E37" s="53"/>
      <c r="F37" s="53"/>
      <c r="G37" s="54">
        <f t="shared" si="2"/>
        <v>0</v>
      </c>
      <c r="H37" s="54">
        <f t="shared" si="3"/>
        <v>0</v>
      </c>
      <c r="I37" s="55">
        <f t="shared" si="4"/>
        <v>0</v>
      </c>
      <c r="J37" s="36"/>
      <c r="K37" s="36"/>
      <c r="L37" s="36"/>
      <c r="M37" s="56"/>
      <c r="N37" s="58"/>
    </row>
    <row r="38" ht="15.75" customHeight="1">
      <c r="B38" s="51"/>
      <c r="C38" s="52"/>
      <c r="D38" s="53"/>
      <c r="E38" s="53"/>
      <c r="F38" s="53"/>
      <c r="G38" s="54">
        <f t="shared" si="2"/>
        <v>0</v>
      </c>
      <c r="H38" s="54">
        <f t="shared" si="3"/>
        <v>0</v>
      </c>
      <c r="I38" s="55">
        <f t="shared" si="4"/>
        <v>0</v>
      </c>
      <c r="J38" s="36"/>
      <c r="K38" s="36"/>
      <c r="L38" s="36"/>
      <c r="M38" s="56"/>
      <c r="N38" s="58"/>
    </row>
    <row r="39" ht="15.75" customHeight="1">
      <c r="B39" s="51"/>
      <c r="C39" s="52"/>
      <c r="D39" s="53"/>
      <c r="E39" s="53"/>
      <c r="F39" s="53"/>
      <c r="G39" s="54">
        <f t="shared" si="2"/>
        <v>0</v>
      </c>
      <c r="H39" s="54">
        <f t="shared" si="3"/>
        <v>0</v>
      </c>
      <c r="I39" s="55">
        <f t="shared" si="4"/>
        <v>0</v>
      </c>
      <c r="J39" s="36"/>
      <c r="K39" s="36"/>
      <c r="L39" s="36"/>
      <c r="M39" s="56"/>
      <c r="N39" s="58"/>
    </row>
    <row r="40" ht="15.75" customHeight="1">
      <c r="B40" s="51"/>
      <c r="C40" s="52"/>
      <c r="D40" s="53"/>
      <c r="E40" s="53"/>
      <c r="F40" s="53"/>
      <c r="G40" s="54">
        <f t="shared" si="2"/>
        <v>0</v>
      </c>
      <c r="H40" s="54">
        <f t="shared" si="3"/>
        <v>0</v>
      </c>
      <c r="I40" s="55">
        <f t="shared" si="4"/>
        <v>0</v>
      </c>
      <c r="J40" s="36"/>
      <c r="K40" s="36"/>
      <c r="L40" s="36"/>
      <c r="M40" s="56"/>
      <c r="N40" s="58"/>
    </row>
    <row r="41" ht="15.75" customHeight="1">
      <c r="B41" s="51"/>
      <c r="C41" s="52"/>
      <c r="D41" s="53"/>
      <c r="E41" s="53"/>
      <c r="F41" s="53"/>
      <c r="G41" s="54">
        <f t="shared" si="2"/>
        <v>0</v>
      </c>
      <c r="H41" s="54">
        <f t="shared" si="3"/>
        <v>0</v>
      </c>
      <c r="I41" s="55">
        <f t="shared" si="4"/>
        <v>0</v>
      </c>
      <c r="J41" s="36"/>
      <c r="K41" s="36"/>
      <c r="L41" s="36"/>
      <c r="M41" s="56"/>
      <c r="N41" s="58"/>
    </row>
    <row r="42" ht="15.75" customHeight="1">
      <c r="B42" s="51"/>
      <c r="C42" s="52"/>
      <c r="D42" s="53"/>
      <c r="E42" s="53"/>
      <c r="F42" s="53"/>
      <c r="G42" s="54">
        <f t="shared" si="2"/>
        <v>0</v>
      </c>
      <c r="H42" s="54">
        <f t="shared" si="3"/>
        <v>0</v>
      </c>
      <c r="I42" s="55">
        <f t="shared" si="4"/>
        <v>0</v>
      </c>
      <c r="J42" s="36"/>
      <c r="K42" s="36"/>
      <c r="L42" s="36"/>
      <c r="M42" s="56"/>
      <c r="N42" s="58"/>
    </row>
    <row r="43" ht="15.75" customHeight="1">
      <c r="B43" s="51"/>
      <c r="C43" s="52"/>
      <c r="D43" s="53"/>
      <c r="E43" s="53"/>
      <c r="F43" s="53"/>
      <c r="G43" s="54">
        <f t="shared" si="2"/>
        <v>0</v>
      </c>
      <c r="H43" s="54">
        <f t="shared" si="3"/>
        <v>0</v>
      </c>
      <c r="I43" s="55">
        <f t="shared" si="4"/>
        <v>0</v>
      </c>
      <c r="J43" s="36"/>
      <c r="K43" s="36"/>
      <c r="L43" s="36"/>
      <c r="M43" s="56"/>
      <c r="N43" s="58"/>
    </row>
    <row r="44" ht="15.75" customHeight="1">
      <c r="B44" s="51"/>
      <c r="C44" s="52"/>
      <c r="D44" s="53"/>
      <c r="E44" s="53"/>
      <c r="F44" s="53"/>
      <c r="G44" s="54">
        <f t="shared" si="2"/>
        <v>0</v>
      </c>
      <c r="H44" s="54">
        <f t="shared" si="3"/>
        <v>0</v>
      </c>
      <c r="I44" s="55">
        <f t="shared" si="4"/>
        <v>0</v>
      </c>
      <c r="J44" s="36"/>
      <c r="K44" s="36"/>
      <c r="L44" s="36"/>
      <c r="M44" s="56"/>
      <c r="N44" s="58"/>
    </row>
    <row r="45" ht="15.75" customHeight="1">
      <c r="B45" s="51"/>
      <c r="C45" s="52"/>
      <c r="D45" s="53"/>
      <c r="E45" s="53"/>
      <c r="F45" s="53"/>
      <c r="G45" s="54">
        <f t="shared" si="2"/>
        <v>0</v>
      </c>
      <c r="H45" s="54">
        <f t="shared" si="3"/>
        <v>0</v>
      </c>
      <c r="I45" s="55">
        <f t="shared" si="4"/>
        <v>0</v>
      </c>
      <c r="J45" s="36"/>
      <c r="K45" s="36"/>
      <c r="L45" s="36"/>
      <c r="M45" s="56"/>
      <c r="N45" s="58"/>
    </row>
    <row r="46" ht="15.75" customHeight="1">
      <c r="B46" s="51"/>
      <c r="C46" s="52"/>
      <c r="D46" s="53"/>
      <c r="E46" s="53"/>
      <c r="F46" s="53"/>
      <c r="G46" s="54">
        <f t="shared" si="2"/>
        <v>0</v>
      </c>
      <c r="H46" s="54">
        <f t="shared" si="3"/>
        <v>0</v>
      </c>
      <c r="I46" s="55">
        <f t="shared" si="4"/>
        <v>0</v>
      </c>
      <c r="J46" s="36"/>
      <c r="K46" s="36"/>
      <c r="L46" s="36"/>
      <c r="M46" s="56"/>
      <c r="N46" s="58"/>
    </row>
    <row r="47" ht="15.75" customHeight="1">
      <c r="B47" s="51"/>
      <c r="C47" s="52"/>
      <c r="D47" s="53"/>
      <c r="E47" s="53"/>
      <c r="F47" s="53"/>
      <c r="G47" s="54">
        <f t="shared" si="2"/>
        <v>0</v>
      </c>
      <c r="H47" s="54">
        <f t="shared" si="3"/>
        <v>0</v>
      </c>
      <c r="I47" s="55">
        <f t="shared" si="4"/>
        <v>0</v>
      </c>
      <c r="J47" s="36"/>
      <c r="K47" s="36"/>
      <c r="L47" s="36"/>
      <c r="M47" s="56"/>
      <c r="N47" s="58"/>
    </row>
    <row r="48" ht="15.75" customHeight="1">
      <c r="B48" s="51"/>
      <c r="C48" s="52"/>
      <c r="D48" s="53"/>
      <c r="E48" s="53"/>
      <c r="F48" s="53"/>
      <c r="G48" s="54">
        <f t="shared" si="2"/>
        <v>0</v>
      </c>
      <c r="H48" s="54">
        <f t="shared" si="3"/>
        <v>0</v>
      </c>
      <c r="I48" s="55">
        <f t="shared" si="4"/>
        <v>0</v>
      </c>
      <c r="J48" s="36"/>
      <c r="K48" s="36"/>
      <c r="L48" s="36"/>
      <c r="M48" s="56"/>
      <c r="N48" s="58"/>
    </row>
    <row r="49" ht="15.75" customHeight="1">
      <c r="B49" s="51"/>
      <c r="C49" s="52"/>
      <c r="D49" s="53"/>
      <c r="E49" s="53"/>
      <c r="F49" s="53"/>
      <c r="G49" s="54">
        <f t="shared" si="2"/>
        <v>0</v>
      </c>
      <c r="H49" s="54">
        <f t="shared" si="3"/>
        <v>0</v>
      </c>
      <c r="I49" s="55">
        <f t="shared" si="4"/>
        <v>0</v>
      </c>
      <c r="J49" s="36"/>
      <c r="K49" s="36"/>
      <c r="L49" s="36"/>
      <c r="M49" s="56"/>
      <c r="N49" s="58"/>
    </row>
    <row r="50" ht="15.75" customHeight="1">
      <c r="B50" s="51"/>
      <c r="C50" s="52"/>
      <c r="D50" s="53"/>
      <c r="E50" s="53"/>
      <c r="F50" s="53"/>
      <c r="G50" s="54">
        <f t="shared" si="2"/>
        <v>0</v>
      </c>
      <c r="H50" s="54">
        <f t="shared" si="3"/>
        <v>0</v>
      </c>
      <c r="I50" s="55">
        <f t="shared" si="4"/>
        <v>0</v>
      </c>
      <c r="J50" s="36"/>
      <c r="K50" s="36"/>
      <c r="L50" s="36"/>
      <c r="M50" s="56"/>
      <c r="N50" s="58"/>
    </row>
    <row r="51" ht="15.75" customHeight="1">
      <c r="B51" s="51"/>
      <c r="C51" s="52"/>
      <c r="D51" s="53"/>
      <c r="E51" s="53"/>
      <c r="F51" s="53"/>
      <c r="G51" s="54">
        <f t="shared" si="2"/>
        <v>0</v>
      </c>
      <c r="H51" s="54">
        <f t="shared" si="3"/>
        <v>0</v>
      </c>
      <c r="I51" s="55">
        <f t="shared" si="4"/>
        <v>0</v>
      </c>
      <c r="J51" s="36"/>
      <c r="K51" s="36"/>
      <c r="L51" s="36"/>
      <c r="M51" s="56"/>
      <c r="N51" s="58"/>
    </row>
    <row r="52" ht="15.75" customHeight="1">
      <c r="B52" s="51"/>
      <c r="C52" s="52"/>
      <c r="D52" s="53"/>
      <c r="E52" s="53"/>
      <c r="F52" s="53"/>
      <c r="G52" s="54">
        <f t="shared" si="2"/>
        <v>0</v>
      </c>
      <c r="H52" s="54">
        <f t="shared" si="3"/>
        <v>0</v>
      </c>
      <c r="I52" s="55">
        <f t="shared" si="4"/>
        <v>0</v>
      </c>
      <c r="J52" s="36"/>
      <c r="K52" s="36"/>
      <c r="L52" s="36"/>
      <c r="M52" s="56"/>
      <c r="N52" s="58"/>
    </row>
    <row r="53" ht="15.75" customHeight="1">
      <c r="B53" s="51"/>
      <c r="C53" s="52"/>
      <c r="D53" s="53"/>
      <c r="E53" s="53"/>
      <c r="F53" s="53"/>
      <c r="G53" s="54">
        <f t="shared" si="2"/>
        <v>0</v>
      </c>
      <c r="H53" s="54">
        <f t="shared" si="3"/>
        <v>0</v>
      </c>
      <c r="I53" s="55">
        <f t="shared" si="4"/>
        <v>0</v>
      </c>
      <c r="J53" s="36"/>
      <c r="K53" s="36"/>
      <c r="L53" s="36"/>
      <c r="M53" s="56"/>
      <c r="N53" s="58"/>
    </row>
    <row r="54" ht="15.75" customHeight="1">
      <c r="B54" s="51"/>
      <c r="C54" s="52"/>
      <c r="D54" s="53"/>
      <c r="E54" s="53"/>
      <c r="F54" s="53"/>
      <c r="G54" s="54">
        <f t="shared" si="2"/>
        <v>0</v>
      </c>
      <c r="H54" s="54">
        <f t="shared" si="3"/>
        <v>0</v>
      </c>
      <c r="I54" s="55">
        <f t="shared" si="4"/>
        <v>0</v>
      </c>
      <c r="J54" s="36"/>
      <c r="K54" s="36"/>
      <c r="L54" s="36"/>
      <c r="M54" s="56"/>
      <c r="N54" s="58"/>
    </row>
    <row r="55" ht="15.75" customHeight="1">
      <c r="B55" s="51"/>
      <c r="C55" s="52"/>
      <c r="D55" s="53"/>
      <c r="E55" s="53"/>
      <c r="F55" s="53"/>
      <c r="G55" s="54">
        <f t="shared" si="2"/>
        <v>0</v>
      </c>
      <c r="H55" s="54">
        <f t="shared" si="3"/>
        <v>0</v>
      </c>
      <c r="I55" s="55">
        <f t="shared" si="4"/>
        <v>0</v>
      </c>
      <c r="J55" s="36"/>
      <c r="K55" s="36"/>
      <c r="L55" s="36"/>
      <c r="M55" s="56"/>
      <c r="N55" s="58"/>
    </row>
    <row r="56" ht="15.75" customHeight="1">
      <c r="B56" s="51"/>
      <c r="C56" s="52"/>
      <c r="D56" s="53"/>
      <c r="E56" s="53"/>
      <c r="F56" s="53"/>
      <c r="G56" s="54">
        <f t="shared" si="2"/>
        <v>0</v>
      </c>
      <c r="H56" s="54">
        <f t="shared" si="3"/>
        <v>0</v>
      </c>
      <c r="I56" s="55">
        <f t="shared" si="4"/>
        <v>0</v>
      </c>
      <c r="J56" s="36"/>
      <c r="K56" s="36"/>
      <c r="L56" s="36"/>
      <c r="M56" s="56"/>
      <c r="N56" s="58"/>
    </row>
    <row r="57" ht="23.25" customHeight="1">
      <c r="B57" s="60"/>
      <c r="C57" s="61"/>
      <c r="D57" s="62"/>
      <c r="E57" s="62"/>
      <c r="F57" s="62"/>
      <c r="G57" s="63">
        <f t="shared" si="2"/>
        <v>0</v>
      </c>
      <c r="H57" s="54">
        <f t="shared" si="3"/>
        <v>0</v>
      </c>
      <c r="I57" s="64">
        <f t="shared" si="4"/>
        <v>0</v>
      </c>
      <c r="J57" s="36"/>
      <c r="K57" s="36"/>
      <c r="L57" s="36"/>
      <c r="M57" s="56"/>
      <c r="N57" s="58"/>
    </row>
    <row r="58" ht="15.75" customHeight="1">
      <c r="B58" s="65" t="s">
        <v>23</v>
      </c>
      <c r="C58" s="66"/>
      <c r="D58" s="67"/>
      <c r="E58" s="66"/>
      <c r="F58" s="66"/>
      <c r="G58" s="68">
        <f t="shared" ref="G58:I58" si="5">SUM(G4:G57)</f>
        <v>2000</v>
      </c>
      <c r="H58" s="69">
        <f t="shared" si="5"/>
        <v>380</v>
      </c>
      <c r="I58" s="69">
        <f t="shared" si="5"/>
        <v>1620</v>
      </c>
      <c r="J58" s="36"/>
      <c r="K58" s="36"/>
      <c r="L58" s="36"/>
      <c r="M58" s="56"/>
      <c r="N58" s="58"/>
    </row>
    <row r="59" ht="15.75" customHeight="1">
      <c r="B59" s="70" t="s">
        <v>24</v>
      </c>
      <c r="C59" s="71"/>
      <c r="D59" s="71"/>
      <c r="E59" s="72"/>
      <c r="F59" s="71"/>
      <c r="G59" s="71"/>
      <c r="H59" s="71"/>
      <c r="I59" s="73"/>
      <c r="J59" s="36"/>
      <c r="K59" s="36"/>
      <c r="L59" s="36"/>
      <c r="M59" s="56"/>
      <c r="N59" s="58"/>
    </row>
    <row r="60" ht="30.0" customHeight="1">
      <c r="B60" s="37" t="s">
        <v>17</v>
      </c>
      <c r="C60" s="38" t="s">
        <v>2</v>
      </c>
      <c r="D60" s="39" t="s">
        <v>3</v>
      </c>
      <c r="E60" s="40" t="s">
        <v>18</v>
      </c>
      <c r="F60" s="41" t="s">
        <v>5</v>
      </c>
      <c r="G60" s="42" t="s">
        <v>4</v>
      </c>
      <c r="H60" s="74" t="s">
        <v>19</v>
      </c>
      <c r="I60" s="75" t="s">
        <v>25</v>
      </c>
      <c r="J60" s="76" t="s">
        <v>26</v>
      </c>
      <c r="K60" s="76" t="s">
        <v>27</v>
      </c>
      <c r="L60" s="36"/>
      <c r="M60" s="56"/>
      <c r="N60" s="58"/>
    </row>
    <row r="61" ht="18.75" customHeight="1">
      <c r="B61" s="45" t="s">
        <v>28</v>
      </c>
      <c r="C61" s="46">
        <v>2000.0</v>
      </c>
      <c r="D61" s="46">
        <v>1.0</v>
      </c>
      <c r="E61" s="47"/>
      <c r="F61" s="47"/>
      <c r="G61" s="77">
        <f t="shared" ref="G61:G204" si="6">C61*D61</f>
        <v>2000</v>
      </c>
      <c r="H61" s="78">
        <f t="shared" ref="H61:H204" si="7">G61*0.19</f>
        <v>380</v>
      </c>
      <c r="I61" s="79">
        <f t="shared" ref="I61:I204" si="8">G61*0.0345</f>
        <v>69</v>
      </c>
      <c r="J61" s="80">
        <f t="shared" ref="J61:J204" si="9">G61-H61-I61</f>
        <v>1551</v>
      </c>
      <c r="K61" s="80">
        <f t="shared" ref="K61:K204" si="10">G61-I61</f>
        <v>1931</v>
      </c>
      <c r="L61" s="36"/>
      <c r="M61" s="56"/>
      <c r="N61" s="58"/>
    </row>
    <row r="62" ht="19.5" customHeight="1">
      <c r="B62" s="51"/>
      <c r="C62" s="52"/>
      <c r="D62" s="52"/>
      <c r="E62" s="53"/>
      <c r="F62" s="53"/>
      <c r="G62" s="81">
        <f t="shared" si="6"/>
        <v>0</v>
      </c>
      <c r="H62" s="82">
        <f t="shared" si="7"/>
        <v>0</v>
      </c>
      <c r="I62" s="83">
        <f t="shared" si="8"/>
        <v>0</v>
      </c>
      <c r="J62" s="84">
        <f t="shared" si="9"/>
        <v>0</v>
      </c>
      <c r="K62" s="80">
        <f t="shared" si="10"/>
        <v>0</v>
      </c>
      <c r="L62" s="36"/>
      <c r="M62" s="56"/>
      <c r="N62" s="58"/>
    </row>
    <row r="63" ht="19.5" customHeight="1">
      <c r="B63" s="51"/>
      <c r="C63" s="52"/>
      <c r="D63" s="52"/>
      <c r="E63" s="53"/>
      <c r="F63" s="53"/>
      <c r="G63" s="81">
        <f t="shared" si="6"/>
        <v>0</v>
      </c>
      <c r="H63" s="82">
        <f t="shared" si="7"/>
        <v>0</v>
      </c>
      <c r="I63" s="83">
        <f t="shared" si="8"/>
        <v>0</v>
      </c>
      <c r="J63" s="84">
        <f t="shared" si="9"/>
        <v>0</v>
      </c>
      <c r="K63" s="80">
        <f t="shared" si="10"/>
        <v>0</v>
      </c>
      <c r="L63" s="36"/>
      <c r="M63" s="56"/>
      <c r="N63" s="58"/>
    </row>
    <row r="64" ht="21.0" customHeight="1">
      <c r="B64" s="51"/>
      <c r="C64" s="52"/>
      <c r="D64" s="52"/>
      <c r="E64" s="53"/>
      <c r="F64" s="53"/>
      <c r="G64" s="81">
        <f t="shared" si="6"/>
        <v>0</v>
      </c>
      <c r="H64" s="82">
        <f t="shared" si="7"/>
        <v>0</v>
      </c>
      <c r="I64" s="83">
        <f t="shared" si="8"/>
        <v>0</v>
      </c>
      <c r="J64" s="84">
        <f t="shared" si="9"/>
        <v>0</v>
      </c>
      <c r="K64" s="80">
        <f t="shared" si="10"/>
        <v>0</v>
      </c>
      <c r="L64" s="36"/>
      <c r="M64" s="56"/>
      <c r="N64" s="58"/>
    </row>
    <row r="65" ht="21.0" customHeight="1">
      <c r="B65" s="51"/>
      <c r="C65" s="52"/>
      <c r="D65" s="52"/>
      <c r="E65" s="53"/>
      <c r="F65" s="53"/>
      <c r="G65" s="81">
        <f t="shared" si="6"/>
        <v>0</v>
      </c>
      <c r="H65" s="82">
        <f t="shared" si="7"/>
        <v>0</v>
      </c>
      <c r="I65" s="83">
        <f t="shared" si="8"/>
        <v>0</v>
      </c>
      <c r="J65" s="84">
        <f t="shared" si="9"/>
        <v>0</v>
      </c>
      <c r="K65" s="80">
        <f t="shared" si="10"/>
        <v>0</v>
      </c>
      <c r="L65" s="36"/>
      <c r="M65" s="56"/>
      <c r="N65" s="58"/>
    </row>
    <row r="66" ht="22.5" customHeight="1">
      <c r="B66" s="51"/>
      <c r="C66" s="52"/>
      <c r="D66" s="52"/>
      <c r="E66" s="53"/>
      <c r="F66" s="53"/>
      <c r="G66" s="81">
        <f t="shared" si="6"/>
        <v>0</v>
      </c>
      <c r="H66" s="82">
        <f t="shared" si="7"/>
        <v>0</v>
      </c>
      <c r="I66" s="83">
        <f t="shared" si="8"/>
        <v>0</v>
      </c>
      <c r="J66" s="84">
        <f t="shared" si="9"/>
        <v>0</v>
      </c>
      <c r="K66" s="80">
        <f t="shared" si="10"/>
        <v>0</v>
      </c>
      <c r="L66" s="36"/>
      <c r="M66" s="56"/>
      <c r="N66" s="58"/>
    </row>
    <row r="67" ht="21.0" customHeight="1">
      <c r="B67" s="51"/>
      <c r="C67" s="52"/>
      <c r="D67" s="52"/>
      <c r="E67" s="53"/>
      <c r="F67" s="53"/>
      <c r="G67" s="54">
        <f t="shared" si="6"/>
        <v>0</v>
      </c>
      <c r="H67" s="82">
        <f t="shared" si="7"/>
        <v>0</v>
      </c>
      <c r="I67" s="83">
        <f t="shared" si="8"/>
        <v>0</v>
      </c>
      <c r="J67" s="84">
        <f t="shared" si="9"/>
        <v>0</v>
      </c>
      <c r="K67" s="80">
        <f t="shared" si="10"/>
        <v>0</v>
      </c>
      <c r="L67" s="36"/>
      <c r="M67" s="56"/>
      <c r="N67" s="58"/>
    </row>
    <row r="68" ht="22.5" customHeight="1">
      <c r="B68" s="51"/>
      <c r="C68" s="52"/>
      <c r="D68" s="53"/>
      <c r="E68" s="53"/>
      <c r="F68" s="53"/>
      <c r="G68" s="54">
        <f t="shared" si="6"/>
        <v>0</v>
      </c>
      <c r="H68" s="82">
        <f t="shared" si="7"/>
        <v>0</v>
      </c>
      <c r="I68" s="83">
        <f t="shared" si="8"/>
        <v>0</v>
      </c>
      <c r="J68" s="84">
        <f t="shared" si="9"/>
        <v>0</v>
      </c>
      <c r="K68" s="80">
        <f t="shared" si="10"/>
        <v>0</v>
      </c>
      <c r="L68" s="36"/>
      <c r="M68" s="56"/>
      <c r="N68" s="58"/>
    </row>
    <row r="69" ht="21.0" customHeight="1">
      <c r="B69" s="51"/>
      <c r="C69" s="52"/>
      <c r="D69" s="53"/>
      <c r="E69" s="53"/>
      <c r="F69" s="53"/>
      <c r="G69" s="54">
        <f t="shared" si="6"/>
        <v>0</v>
      </c>
      <c r="H69" s="82">
        <f t="shared" si="7"/>
        <v>0</v>
      </c>
      <c r="I69" s="83">
        <f t="shared" si="8"/>
        <v>0</v>
      </c>
      <c r="J69" s="84">
        <f t="shared" si="9"/>
        <v>0</v>
      </c>
      <c r="K69" s="80">
        <f t="shared" si="10"/>
        <v>0</v>
      </c>
      <c r="L69" s="36"/>
      <c r="M69" s="56"/>
      <c r="N69" s="58"/>
    </row>
    <row r="70" ht="18.0" customHeight="1">
      <c r="B70" s="51"/>
      <c r="C70" s="52"/>
      <c r="D70" s="52"/>
      <c r="E70" s="53"/>
      <c r="F70" s="53"/>
      <c r="G70" s="54">
        <f t="shared" si="6"/>
        <v>0</v>
      </c>
      <c r="H70" s="82">
        <f t="shared" si="7"/>
        <v>0</v>
      </c>
      <c r="I70" s="83">
        <f t="shared" si="8"/>
        <v>0</v>
      </c>
      <c r="J70" s="84">
        <f t="shared" si="9"/>
        <v>0</v>
      </c>
      <c r="K70" s="80">
        <f t="shared" si="10"/>
        <v>0</v>
      </c>
      <c r="L70" s="36"/>
      <c r="M70" s="56"/>
      <c r="N70" s="58"/>
    </row>
    <row r="71" ht="21.0" customHeight="1">
      <c r="B71" s="51"/>
      <c r="C71" s="52"/>
      <c r="D71" s="52"/>
      <c r="E71" s="53"/>
      <c r="F71" s="53"/>
      <c r="G71" s="54">
        <f t="shared" si="6"/>
        <v>0</v>
      </c>
      <c r="H71" s="82">
        <f t="shared" si="7"/>
        <v>0</v>
      </c>
      <c r="I71" s="83">
        <f t="shared" si="8"/>
        <v>0</v>
      </c>
      <c r="J71" s="84">
        <f t="shared" si="9"/>
        <v>0</v>
      </c>
      <c r="K71" s="80">
        <f t="shared" si="10"/>
        <v>0</v>
      </c>
      <c r="L71" s="36"/>
      <c r="M71" s="56"/>
      <c r="N71" s="58"/>
    </row>
    <row r="72" ht="23.25" customHeight="1">
      <c r="B72" s="51"/>
      <c r="C72" s="52"/>
      <c r="D72" s="52"/>
      <c r="E72" s="53"/>
      <c r="F72" s="53"/>
      <c r="G72" s="54">
        <f t="shared" si="6"/>
        <v>0</v>
      </c>
      <c r="H72" s="82">
        <f t="shared" si="7"/>
        <v>0</v>
      </c>
      <c r="I72" s="83">
        <f t="shared" si="8"/>
        <v>0</v>
      </c>
      <c r="J72" s="84">
        <f t="shared" si="9"/>
        <v>0</v>
      </c>
      <c r="K72" s="80">
        <f t="shared" si="10"/>
        <v>0</v>
      </c>
      <c r="L72" s="36"/>
      <c r="M72" s="56"/>
      <c r="N72" s="58"/>
    </row>
    <row r="73" ht="15.75" customHeight="1">
      <c r="B73" s="51"/>
      <c r="C73" s="52"/>
      <c r="D73" s="52"/>
      <c r="E73" s="53"/>
      <c r="F73" s="53"/>
      <c r="G73" s="54">
        <f t="shared" si="6"/>
        <v>0</v>
      </c>
      <c r="H73" s="82">
        <f t="shared" si="7"/>
        <v>0</v>
      </c>
      <c r="I73" s="83">
        <f t="shared" si="8"/>
        <v>0</v>
      </c>
      <c r="J73" s="84">
        <f t="shared" si="9"/>
        <v>0</v>
      </c>
      <c r="K73" s="80">
        <f t="shared" si="10"/>
        <v>0</v>
      </c>
    </row>
    <row r="74" ht="15.75" customHeight="1">
      <c r="B74" s="51"/>
      <c r="C74" s="52"/>
      <c r="D74" s="52"/>
      <c r="E74" s="53"/>
      <c r="F74" s="53"/>
      <c r="G74" s="54">
        <f t="shared" si="6"/>
        <v>0</v>
      </c>
      <c r="H74" s="82">
        <f t="shared" si="7"/>
        <v>0</v>
      </c>
      <c r="I74" s="83">
        <f t="shared" si="8"/>
        <v>0</v>
      </c>
      <c r="J74" s="84">
        <f t="shared" si="9"/>
        <v>0</v>
      </c>
      <c r="K74" s="80">
        <f t="shared" si="10"/>
        <v>0</v>
      </c>
      <c r="L74" s="36"/>
      <c r="M74" s="36"/>
      <c r="N74" s="36"/>
    </row>
    <row r="75" ht="15.75" customHeight="1">
      <c r="B75" s="51"/>
      <c r="C75" s="52"/>
      <c r="D75" s="52"/>
      <c r="E75" s="53"/>
      <c r="F75" s="53"/>
      <c r="G75" s="54">
        <f t="shared" si="6"/>
        <v>0</v>
      </c>
      <c r="H75" s="82">
        <f t="shared" si="7"/>
        <v>0</v>
      </c>
      <c r="I75" s="83">
        <f t="shared" si="8"/>
        <v>0</v>
      </c>
      <c r="J75" s="84">
        <f t="shared" si="9"/>
        <v>0</v>
      </c>
      <c r="K75" s="80">
        <f t="shared" si="10"/>
        <v>0</v>
      </c>
      <c r="L75" s="36"/>
      <c r="M75" s="56"/>
      <c r="N75" s="58"/>
    </row>
    <row r="76" ht="15.75" customHeight="1">
      <c r="B76" s="51"/>
      <c r="C76" s="52"/>
      <c r="D76" s="52"/>
      <c r="E76" s="53"/>
      <c r="F76" s="53"/>
      <c r="G76" s="54">
        <f t="shared" si="6"/>
        <v>0</v>
      </c>
      <c r="H76" s="82">
        <f t="shared" si="7"/>
        <v>0</v>
      </c>
      <c r="I76" s="83">
        <f t="shared" si="8"/>
        <v>0</v>
      </c>
      <c r="J76" s="84">
        <f t="shared" si="9"/>
        <v>0</v>
      </c>
      <c r="K76" s="80">
        <f t="shared" si="10"/>
        <v>0</v>
      </c>
      <c r="L76" s="36"/>
      <c r="M76" s="56"/>
      <c r="N76" s="58"/>
    </row>
    <row r="77" ht="15.75" customHeight="1">
      <c r="B77" s="51"/>
      <c r="C77" s="52"/>
      <c r="D77" s="53"/>
      <c r="E77" s="53"/>
      <c r="F77" s="53"/>
      <c r="G77" s="54">
        <f t="shared" si="6"/>
        <v>0</v>
      </c>
      <c r="H77" s="82">
        <f t="shared" si="7"/>
        <v>0</v>
      </c>
      <c r="I77" s="83">
        <f t="shared" si="8"/>
        <v>0</v>
      </c>
      <c r="J77" s="84">
        <f t="shared" si="9"/>
        <v>0</v>
      </c>
      <c r="K77" s="80">
        <f t="shared" si="10"/>
        <v>0</v>
      </c>
      <c r="L77" s="36"/>
      <c r="M77" s="56"/>
      <c r="N77" s="58"/>
    </row>
    <row r="78" ht="15.75" customHeight="1">
      <c r="B78" s="51"/>
      <c r="C78" s="52"/>
      <c r="D78" s="53"/>
      <c r="E78" s="53"/>
      <c r="F78" s="53"/>
      <c r="G78" s="54">
        <f t="shared" si="6"/>
        <v>0</v>
      </c>
      <c r="H78" s="82">
        <f t="shared" si="7"/>
        <v>0</v>
      </c>
      <c r="I78" s="83">
        <f t="shared" si="8"/>
        <v>0</v>
      </c>
      <c r="J78" s="84">
        <f t="shared" si="9"/>
        <v>0</v>
      </c>
      <c r="K78" s="80">
        <f t="shared" si="10"/>
        <v>0</v>
      </c>
      <c r="L78" s="36"/>
      <c r="M78" s="56"/>
      <c r="N78" s="58"/>
    </row>
    <row r="79" ht="15.75" customHeight="1">
      <c r="B79" s="85"/>
      <c r="C79" s="86"/>
      <c r="D79" s="87"/>
      <c r="E79" s="88"/>
      <c r="F79" s="88"/>
      <c r="G79" s="54">
        <f t="shared" si="6"/>
        <v>0</v>
      </c>
      <c r="H79" s="82">
        <f t="shared" si="7"/>
        <v>0</v>
      </c>
      <c r="I79" s="83">
        <f t="shared" si="8"/>
        <v>0</v>
      </c>
      <c r="J79" s="84">
        <f t="shared" si="9"/>
        <v>0</v>
      </c>
      <c r="K79" s="80">
        <f t="shared" si="10"/>
        <v>0</v>
      </c>
      <c r="L79" s="36"/>
      <c r="M79" s="56"/>
      <c r="N79" s="58"/>
    </row>
    <row r="80" ht="15.75" customHeight="1">
      <c r="B80" s="51"/>
      <c r="C80" s="53"/>
      <c r="D80" s="53"/>
      <c r="E80" s="53"/>
      <c r="F80" s="53"/>
      <c r="G80" s="54">
        <f t="shared" si="6"/>
        <v>0</v>
      </c>
      <c r="H80" s="82">
        <f t="shared" si="7"/>
        <v>0</v>
      </c>
      <c r="I80" s="83">
        <f t="shared" si="8"/>
        <v>0</v>
      </c>
      <c r="J80" s="84">
        <f t="shared" si="9"/>
        <v>0</v>
      </c>
      <c r="K80" s="80">
        <f t="shared" si="10"/>
        <v>0</v>
      </c>
      <c r="L80" s="56"/>
      <c r="M80" s="56"/>
      <c r="N80" s="36"/>
    </row>
    <row r="81" ht="15.75" customHeight="1">
      <c r="B81" s="51"/>
      <c r="C81" s="53"/>
      <c r="D81" s="53"/>
      <c r="E81" s="53"/>
      <c r="F81" s="53"/>
      <c r="G81" s="54">
        <f t="shared" si="6"/>
        <v>0</v>
      </c>
      <c r="H81" s="82">
        <f t="shared" si="7"/>
        <v>0</v>
      </c>
      <c r="I81" s="83">
        <f t="shared" si="8"/>
        <v>0</v>
      </c>
      <c r="J81" s="84">
        <f t="shared" si="9"/>
        <v>0</v>
      </c>
      <c r="K81" s="80">
        <f t="shared" si="10"/>
        <v>0</v>
      </c>
      <c r="L81" s="36"/>
      <c r="M81" s="56"/>
      <c r="N81" s="58"/>
    </row>
    <row r="82" ht="15.75" customHeight="1">
      <c r="B82" s="51"/>
      <c r="C82" s="53"/>
      <c r="D82" s="53"/>
      <c r="E82" s="53"/>
      <c r="F82" s="53"/>
      <c r="G82" s="54">
        <f t="shared" si="6"/>
        <v>0</v>
      </c>
      <c r="H82" s="82">
        <f t="shared" si="7"/>
        <v>0</v>
      </c>
      <c r="I82" s="83">
        <f t="shared" si="8"/>
        <v>0</v>
      </c>
      <c r="J82" s="84">
        <f t="shared" si="9"/>
        <v>0</v>
      </c>
      <c r="K82" s="80">
        <f t="shared" si="10"/>
        <v>0</v>
      </c>
      <c r="L82" s="36"/>
      <c r="M82" s="56"/>
      <c r="N82" s="58"/>
    </row>
    <row r="83" ht="15.75" customHeight="1">
      <c r="B83" s="51"/>
      <c r="C83" s="53"/>
      <c r="D83" s="53"/>
      <c r="E83" s="53"/>
      <c r="F83" s="53"/>
      <c r="G83" s="54">
        <f t="shared" si="6"/>
        <v>0</v>
      </c>
      <c r="H83" s="82">
        <f t="shared" si="7"/>
        <v>0</v>
      </c>
      <c r="I83" s="83">
        <f t="shared" si="8"/>
        <v>0</v>
      </c>
      <c r="J83" s="84">
        <f t="shared" si="9"/>
        <v>0</v>
      </c>
      <c r="K83" s="80">
        <f t="shared" si="10"/>
        <v>0</v>
      </c>
      <c r="L83" s="36"/>
      <c r="M83" s="56"/>
      <c r="N83" s="58"/>
    </row>
    <row r="84" ht="15.75" customHeight="1">
      <c r="B84" s="51"/>
      <c r="C84" s="53"/>
      <c r="D84" s="53"/>
      <c r="E84" s="53"/>
      <c r="F84" s="53"/>
      <c r="G84" s="54">
        <f t="shared" si="6"/>
        <v>0</v>
      </c>
      <c r="H84" s="82">
        <f t="shared" si="7"/>
        <v>0</v>
      </c>
      <c r="I84" s="83">
        <f t="shared" si="8"/>
        <v>0</v>
      </c>
      <c r="J84" s="84">
        <f t="shared" si="9"/>
        <v>0</v>
      </c>
      <c r="K84" s="80">
        <f t="shared" si="10"/>
        <v>0</v>
      </c>
      <c r="L84" s="36"/>
      <c r="M84" s="56"/>
      <c r="N84" s="58"/>
    </row>
    <row r="85" ht="15.75" customHeight="1">
      <c r="B85" s="51"/>
      <c r="C85" s="53"/>
      <c r="D85" s="53"/>
      <c r="E85" s="53"/>
      <c r="F85" s="53"/>
      <c r="G85" s="54">
        <f t="shared" si="6"/>
        <v>0</v>
      </c>
      <c r="H85" s="82">
        <f t="shared" si="7"/>
        <v>0</v>
      </c>
      <c r="I85" s="83">
        <f t="shared" si="8"/>
        <v>0</v>
      </c>
      <c r="J85" s="84">
        <f t="shared" si="9"/>
        <v>0</v>
      </c>
      <c r="K85" s="80">
        <f t="shared" si="10"/>
        <v>0</v>
      </c>
      <c r="L85" s="36"/>
      <c r="M85" s="56"/>
      <c r="N85" s="58"/>
    </row>
    <row r="86" ht="15.75" customHeight="1">
      <c r="B86" s="51"/>
      <c r="C86" s="53"/>
      <c r="D86" s="53"/>
      <c r="E86" s="53"/>
      <c r="F86" s="53"/>
      <c r="G86" s="54">
        <f t="shared" si="6"/>
        <v>0</v>
      </c>
      <c r="H86" s="82">
        <f t="shared" si="7"/>
        <v>0</v>
      </c>
      <c r="I86" s="83">
        <f t="shared" si="8"/>
        <v>0</v>
      </c>
      <c r="J86" s="84">
        <f t="shared" si="9"/>
        <v>0</v>
      </c>
      <c r="K86" s="80">
        <f t="shared" si="10"/>
        <v>0</v>
      </c>
      <c r="L86" s="36"/>
      <c r="M86" s="56"/>
      <c r="N86" s="58"/>
    </row>
    <row r="87" ht="15.75" customHeight="1">
      <c r="B87" s="51"/>
      <c r="C87" s="53"/>
      <c r="D87" s="53"/>
      <c r="E87" s="53"/>
      <c r="F87" s="53"/>
      <c r="G87" s="54">
        <f t="shared" si="6"/>
        <v>0</v>
      </c>
      <c r="H87" s="82">
        <f t="shared" si="7"/>
        <v>0</v>
      </c>
      <c r="I87" s="83">
        <f t="shared" si="8"/>
        <v>0</v>
      </c>
      <c r="J87" s="84">
        <f t="shared" si="9"/>
        <v>0</v>
      </c>
      <c r="K87" s="80">
        <f t="shared" si="10"/>
        <v>0</v>
      </c>
      <c r="L87" s="36"/>
      <c r="M87" s="56"/>
      <c r="N87" s="58"/>
    </row>
    <row r="88" ht="15.75" customHeight="1">
      <c r="B88" s="51"/>
      <c r="C88" s="53"/>
      <c r="D88" s="53"/>
      <c r="E88" s="53"/>
      <c r="F88" s="53"/>
      <c r="G88" s="54">
        <f t="shared" si="6"/>
        <v>0</v>
      </c>
      <c r="H88" s="82">
        <f t="shared" si="7"/>
        <v>0</v>
      </c>
      <c r="I88" s="83">
        <f t="shared" si="8"/>
        <v>0</v>
      </c>
      <c r="J88" s="84">
        <f t="shared" si="9"/>
        <v>0</v>
      </c>
      <c r="K88" s="80">
        <f t="shared" si="10"/>
        <v>0</v>
      </c>
      <c r="L88" s="36"/>
      <c r="M88" s="56"/>
      <c r="N88" s="58"/>
    </row>
    <row r="89" ht="15.75" customHeight="1">
      <c r="B89" s="51"/>
      <c r="C89" s="53"/>
      <c r="D89" s="53"/>
      <c r="E89" s="53"/>
      <c r="F89" s="53"/>
      <c r="G89" s="54">
        <f t="shared" si="6"/>
        <v>0</v>
      </c>
      <c r="H89" s="82">
        <f t="shared" si="7"/>
        <v>0</v>
      </c>
      <c r="I89" s="83">
        <f t="shared" si="8"/>
        <v>0</v>
      </c>
      <c r="J89" s="84">
        <f t="shared" si="9"/>
        <v>0</v>
      </c>
      <c r="K89" s="80">
        <f t="shared" si="10"/>
        <v>0</v>
      </c>
      <c r="L89" s="36"/>
      <c r="M89" s="56"/>
      <c r="N89" s="58"/>
    </row>
    <row r="90" ht="15.75" customHeight="1">
      <c r="B90" s="51"/>
      <c r="C90" s="53"/>
      <c r="D90" s="53"/>
      <c r="E90" s="53"/>
      <c r="F90" s="53"/>
      <c r="G90" s="54">
        <f t="shared" si="6"/>
        <v>0</v>
      </c>
      <c r="H90" s="82">
        <f t="shared" si="7"/>
        <v>0</v>
      </c>
      <c r="I90" s="83">
        <f t="shared" si="8"/>
        <v>0</v>
      </c>
      <c r="J90" s="84">
        <f t="shared" si="9"/>
        <v>0</v>
      </c>
      <c r="K90" s="80">
        <f t="shared" si="10"/>
        <v>0</v>
      </c>
      <c r="L90" s="36"/>
      <c r="M90" s="56"/>
      <c r="N90" s="58"/>
    </row>
    <row r="91" ht="15.75" customHeight="1">
      <c r="B91" s="51"/>
      <c r="C91" s="53"/>
      <c r="D91" s="53"/>
      <c r="E91" s="53"/>
      <c r="F91" s="53"/>
      <c r="G91" s="54">
        <f t="shared" si="6"/>
        <v>0</v>
      </c>
      <c r="H91" s="82">
        <f t="shared" si="7"/>
        <v>0</v>
      </c>
      <c r="I91" s="83">
        <f t="shared" si="8"/>
        <v>0</v>
      </c>
      <c r="J91" s="84">
        <f t="shared" si="9"/>
        <v>0</v>
      </c>
      <c r="K91" s="80">
        <f t="shared" si="10"/>
        <v>0</v>
      </c>
      <c r="L91" s="36"/>
      <c r="M91" s="56"/>
      <c r="N91" s="58"/>
    </row>
    <row r="92" ht="15.75" customHeight="1">
      <c r="B92" s="51"/>
      <c r="C92" s="53"/>
      <c r="D92" s="53"/>
      <c r="E92" s="53"/>
      <c r="F92" s="53"/>
      <c r="G92" s="54">
        <f t="shared" si="6"/>
        <v>0</v>
      </c>
      <c r="H92" s="82">
        <f t="shared" si="7"/>
        <v>0</v>
      </c>
      <c r="I92" s="83">
        <f t="shared" si="8"/>
        <v>0</v>
      </c>
      <c r="J92" s="84">
        <f t="shared" si="9"/>
        <v>0</v>
      </c>
      <c r="K92" s="80">
        <f t="shared" si="10"/>
        <v>0</v>
      </c>
      <c r="L92" s="36"/>
      <c r="M92" s="56"/>
      <c r="N92" s="58"/>
    </row>
    <row r="93" ht="15.75" customHeight="1">
      <c r="B93" s="51"/>
      <c r="C93" s="53"/>
      <c r="D93" s="53"/>
      <c r="E93" s="53"/>
      <c r="F93" s="53"/>
      <c r="G93" s="54">
        <f t="shared" si="6"/>
        <v>0</v>
      </c>
      <c r="H93" s="82">
        <f t="shared" si="7"/>
        <v>0</v>
      </c>
      <c r="I93" s="83">
        <f t="shared" si="8"/>
        <v>0</v>
      </c>
      <c r="J93" s="84">
        <f t="shared" si="9"/>
        <v>0</v>
      </c>
      <c r="K93" s="80">
        <f t="shared" si="10"/>
        <v>0</v>
      </c>
      <c r="L93" s="36"/>
      <c r="M93" s="56"/>
      <c r="N93" s="58"/>
    </row>
    <row r="94" ht="15.75" customHeight="1">
      <c r="B94" s="51"/>
      <c r="C94" s="53"/>
      <c r="D94" s="53"/>
      <c r="E94" s="53"/>
      <c r="F94" s="53"/>
      <c r="G94" s="54">
        <f t="shared" si="6"/>
        <v>0</v>
      </c>
      <c r="H94" s="82">
        <f t="shared" si="7"/>
        <v>0</v>
      </c>
      <c r="I94" s="83">
        <f t="shared" si="8"/>
        <v>0</v>
      </c>
      <c r="J94" s="84">
        <f t="shared" si="9"/>
        <v>0</v>
      </c>
      <c r="K94" s="80">
        <f t="shared" si="10"/>
        <v>0</v>
      </c>
      <c r="L94" s="36"/>
      <c r="M94" s="56"/>
      <c r="N94" s="58"/>
    </row>
    <row r="95" ht="15.75" customHeight="1">
      <c r="B95" s="51"/>
      <c r="C95" s="53"/>
      <c r="D95" s="53"/>
      <c r="E95" s="53"/>
      <c r="F95" s="53"/>
      <c r="G95" s="54">
        <f t="shared" si="6"/>
        <v>0</v>
      </c>
      <c r="H95" s="82">
        <f t="shared" si="7"/>
        <v>0</v>
      </c>
      <c r="I95" s="83">
        <f t="shared" si="8"/>
        <v>0</v>
      </c>
      <c r="J95" s="84">
        <f t="shared" si="9"/>
        <v>0</v>
      </c>
      <c r="K95" s="80">
        <f t="shared" si="10"/>
        <v>0</v>
      </c>
      <c r="L95" s="36"/>
      <c r="M95" s="56"/>
      <c r="N95" s="58"/>
    </row>
    <row r="96" ht="15.75" customHeight="1">
      <c r="B96" s="51"/>
      <c r="C96" s="53"/>
      <c r="D96" s="53"/>
      <c r="E96" s="53"/>
      <c r="F96" s="53"/>
      <c r="G96" s="54">
        <f t="shared" si="6"/>
        <v>0</v>
      </c>
      <c r="H96" s="82">
        <f t="shared" si="7"/>
        <v>0</v>
      </c>
      <c r="I96" s="83">
        <f t="shared" si="8"/>
        <v>0</v>
      </c>
      <c r="J96" s="84">
        <f t="shared" si="9"/>
        <v>0</v>
      </c>
      <c r="K96" s="80">
        <f t="shared" si="10"/>
        <v>0</v>
      </c>
      <c r="L96" s="36"/>
      <c r="M96" s="56"/>
      <c r="N96" s="58"/>
    </row>
    <row r="97" ht="15.75" customHeight="1">
      <c r="B97" s="51"/>
      <c r="C97" s="53"/>
      <c r="D97" s="53"/>
      <c r="E97" s="53"/>
      <c r="F97" s="53"/>
      <c r="G97" s="54">
        <f t="shared" si="6"/>
        <v>0</v>
      </c>
      <c r="H97" s="82">
        <f t="shared" si="7"/>
        <v>0</v>
      </c>
      <c r="I97" s="83">
        <f t="shared" si="8"/>
        <v>0</v>
      </c>
      <c r="J97" s="84">
        <f t="shared" si="9"/>
        <v>0</v>
      </c>
      <c r="K97" s="80">
        <f t="shared" si="10"/>
        <v>0</v>
      </c>
      <c r="L97" s="36"/>
      <c r="M97" s="56"/>
      <c r="N97" s="58"/>
    </row>
    <row r="98" ht="15.75" customHeight="1">
      <c r="B98" s="51"/>
      <c r="C98" s="53"/>
      <c r="D98" s="53"/>
      <c r="E98" s="53"/>
      <c r="F98" s="53"/>
      <c r="G98" s="54">
        <f t="shared" si="6"/>
        <v>0</v>
      </c>
      <c r="H98" s="82">
        <f t="shared" si="7"/>
        <v>0</v>
      </c>
      <c r="I98" s="83">
        <f t="shared" si="8"/>
        <v>0</v>
      </c>
      <c r="J98" s="84">
        <f t="shared" si="9"/>
        <v>0</v>
      </c>
      <c r="K98" s="80">
        <f t="shared" si="10"/>
        <v>0</v>
      </c>
      <c r="L98" s="36"/>
      <c r="M98" s="56"/>
      <c r="N98" s="58"/>
    </row>
    <row r="99" ht="15.75" customHeight="1">
      <c r="B99" s="51"/>
      <c r="C99" s="53"/>
      <c r="D99" s="53"/>
      <c r="E99" s="53"/>
      <c r="F99" s="53"/>
      <c r="G99" s="54">
        <f t="shared" si="6"/>
        <v>0</v>
      </c>
      <c r="H99" s="82">
        <f t="shared" si="7"/>
        <v>0</v>
      </c>
      <c r="I99" s="83">
        <f t="shared" si="8"/>
        <v>0</v>
      </c>
      <c r="J99" s="84">
        <f t="shared" si="9"/>
        <v>0</v>
      </c>
      <c r="K99" s="80">
        <f t="shared" si="10"/>
        <v>0</v>
      </c>
      <c r="L99" s="36"/>
      <c r="M99" s="56"/>
      <c r="N99" s="58"/>
    </row>
    <row r="100" ht="15.75" customHeight="1">
      <c r="B100" s="51"/>
      <c r="C100" s="53"/>
      <c r="D100" s="53"/>
      <c r="E100" s="53"/>
      <c r="F100" s="53"/>
      <c r="G100" s="54">
        <f t="shared" si="6"/>
        <v>0</v>
      </c>
      <c r="H100" s="82">
        <f t="shared" si="7"/>
        <v>0</v>
      </c>
      <c r="I100" s="83">
        <f t="shared" si="8"/>
        <v>0</v>
      </c>
      <c r="J100" s="84">
        <f t="shared" si="9"/>
        <v>0</v>
      </c>
      <c r="K100" s="80">
        <f t="shared" si="10"/>
        <v>0</v>
      </c>
      <c r="L100" s="36"/>
      <c r="M100" s="56"/>
      <c r="N100" s="58"/>
    </row>
    <row r="101" ht="15.75" customHeight="1">
      <c r="B101" s="51"/>
      <c r="C101" s="53"/>
      <c r="D101" s="53"/>
      <c r="E101" s="53"/>
      <c r="F101" s="53"/>
      <c r="G101" s="54">
        <f t="shared" si="6"/>
        <v>0</v>
      </c>
      <c r="H101" s="82">
        <f t="shared" si="7"/>
        <v>0</v>
      </c>
      <c r="I101" s="83">
        <f t="shared" si="8"/>
        <v>0</v>
      </c>
      <c r="J101" s="84">
        <f t="shared" si="9"/>
        <v>0</v>
      </c>
      <c r="K101" s="80">
        <f t="shared" si="10"/>
        <v>0</v>
      </c>
      <c r="L101" s="36"/>
      <c r="M101" s="56"/>
      <c r="N101" s="58"/>
    </row>
    <row r="102" ht="15.75" customHeight="1">
      <c r="B102" s="51"/>
      <c r="C102" s="53"/>
      <c r="D102" s="53"/>
      <c r="E102" s="53"/>
      <c r="F102" s="53"/>
      <c r="G102" s="54">
        <f t="shared" si="6"/>
        <v>0</v>
      </c>
      <c r="H102" s="82">
        <f t="shared" si="7"/>
        <v>0</v>
      </c>
      <c r="I102" s="83">
        <f t="shared" si="8"/>
        <v>0</v>
      </c>
      <c r="J102" s="84">
        <f t="shared" si="9"/>
        <v>0</v>
      </c>
      <c r="K102" s="80">
        <f t="shared" si="10"/>
        <v>0</v>
      </c>
      <c r="L102" s="36"/>
      <c r="M102" s="56"/>
      <c r="N102" s="58"/>
    </row>
    <row r="103" ht="15.75" customHeight="1">
      <c r="B103" s="51"/>
      <c r="C103" s="53"/>
      <c r="D103" s="53"/>
      <c r="E103" s="53"/>
      <c r="F103" s="53"/>
      <c r="G103" s="54">
        <f t="shared" si="6"/>
        <v>0</v>
      </c>
      <c r="H103" s="82">
        <f t="shared" si="7"/>
        <v>0</v>
      </c>
      <c r="I103" s="83">
        <f t="shared" si="8"/>
        <v>0</v>
      </c>
      <c r="J103" s="84">
        <f t="shared" si="9"/>
        <v>0</v>
      </c>
      <c r="K103" s="80">
        <f t="shared" si="10"/>
        <v>0</v>
      </c>
      <c r="L103" s="36"/>
      <c r="M103" s="56"/>
      <c r="N103" s="58"/>
    </row>
    <row r="104" ht="15.75" customHeight="1">
      <c r="B104" s="51"/>
      <c r="C104" s="53"/>
      <c r="D104" s="53"/>
      <c r="E104" s="53"/>
      <c r="F104" s="53"/>
      <c r="G104" s="54">
        <f t="shared" si="6"/>
        <v>0</v>
      </c>
      <c r="H104" s="82">
        <f t="shared" si="7"/>
        <v>0</v>
      </c>
      <c r="I104" s="83">
        <f t="shared" si="8"/>
        <v>0</v>
      </c>
      <c r="J104" s="84">
        <f t="shared" si="9"/>
        <v>0</v>
      </c>
      <c r="K104" s="80">
        <f t="shared" si="10"/>
        <v>0</v>
      </c>
      <c r="L104" s="36"/>
      <c r="M104" s="56"/>
      <c r="N104" s="58"/>
    </row>
    <row r="105" ht="15.75" customHeight="1">
      <c r="B105" s="51"/>
      <c r="C105" s="53"/>
      <c r="D105" s="53"/>
      <c r="E105" s="53"/>
      <c r="F105" s="53"/>
      <c r="G105" s="54">
        <f t="shared" si="6"/>
        <v>0</v>
      </c>
      <c r="H105" s="82">
        <f t="shared" si="7"/>
        <v>0</v>
      </c>
      <c r="I105" s="83">
        <f t="shared" si="8"/>
        <v>0</v>
      </c>
      <c r="J105" s="84">
        <f t="shared" si="9"/>
        <v>0</v>
      </c>
      <c r="K105" s="80">
        <f t="shared" si="10"/>
        <v>0</v>
      </c>
      <c r="L105" s="36"/>
      <c r="M105" s="56"/>
      <c r="N105" s="58"/>
    </row>
    <row r="106" ht="15.75" customHeight="1">
      <c r="B106" s="51"/>
      <c r="C106" s="53"/>
      <c r="D106" s="53"/>
      <c r="E106" s="53"/>
      <c r="F106" s="53"/>
      <c r="G106" s="54">
        <f t="shared" si="6"/>
        <v>0</v>
      </c>
      <c r="H106" s="82">
        <f t="shared" si="7"/>
        <v>0</v>
      </c>
      <c r="I106" s="83">
        <f t="shared" si="8"/>
        <v>0</v>
      </c>
      <c r="J106" s="84">
        <f t="shared" si="9"/>
        <v>0</v>
      </c>
      <c r="K106" s="80">
        <f t="shared" si="10"/>
        <v>0</v>
      </c>
      <c r="L106" s="36"/>
      <c r="M106" s="56"/>
      <c r="N106" s="58"/>
    </row>
    <row r="107" ht="15.75" customHeight="1">
      <c r="B107" s="51"/>
      <c r="C107" s="53"/>
      <c r="D107" s="53"/>
      <c r="E107" s="53"/>
      <c r="F107" s="53"/>
      <c r="G107" s="54">
        <f t="shared" si="6"/>
        <v>0</v>
      </c>
      <c r="H107" s="82">
        <f t="shared" si="7"/>
        <v>0</v>
      </c>
      <c r="I107" s="83">
        <f t="shared" si="8"/>
        <v>0</v>
      </c>
      <c r="J107" s="84">
        <f t="shared" si="9"/>
        <v>0</v>
      </c>
      <c r="K107" s="80">
        <f t="shared" si="10"/>
        <v>0</v>
      </c>
      <c r="L107" s="36"/>
      <c r="M107" s="56"/>
      <c r="N107" s="58"/>
    </row>
    <row r="108" ht="15.75" customHeight="1">
      <c r="B108" s="51"/>
      <c r="C108" s="53"/>
      <c r="D108" s="53"/>
      <c r="E108" s="53"/>
      <c r="F108" s="53"/>
      <c r="G108" s="54">
        <f t="shared" si="6"/>
        <v>0</v>
      </c>
      <c r="H108" s="82">
        <f t="shared" si="7"/>
        <v>0</v>
      </c>
      <c r="I108" s="83">
        <f t="shared" si="8"/>
        <v>0</v>
      </c>
      <c r="J108" s="84">
        <f t="shared" si="9"/>
        <v>0</v>
      </c>
      <c r="K108" s="80">
        <f t="shared" si="10"/>
        <v>0</v>
      </c>
      <c r="L108" s="36"/>
      <c r="M108" s="56"/>
      <c r="N108" s="58"/>
    </row>
    <row r="109" ht="15.75" customHeight="1">
      <c r="B109" s="51"/>
      <c r="C109" s="53"/>
      <c r="D109" s="53"/>
      <c r="E109" s="53"/>
      <c r="F109" s="53"/>
      <c r="G109" s="54">
        <f t="shared" si="6"/>
        <v>0</v>
      </c>
      <c r="H109" s="82">
        <f t="shared" si="7"/>
        <v>0</v>
      </c>
      <c r="I109" s="83">
        <f t="shared" si="8"/>
        <v>0</v>
      </c>
      <c r="J109" s="84">
        <f t="shared" si="9"/>
        <v>0</v>
      </c>
      <c r="K109" s="80">
        <f t="shared" si="10"/>
        <v>0</v>
      </c>
      <c r="L109" s="36"/>
      <c r="M109" s="56"/>
      <c r="N109" s="58"/>
    </row>
    <row r="110" ht="15.75" customHeight="1">
      <c r="B110" s="51"/>
      <c r="C110" s="53"/>
      <c r="D110" s="53"/>
      <c r="E110" s="53"/>
      <c r="F110" s="53"/>
      <c r="G110" s="54">
        <f t="shared" si="6"/>
        <v>0</v>
      </c>
      <c r="H110" s="82">
        <f t="shared" si="7"/>
        <v>0</v>
      </c>
      <c r="I110" s="83">
        <f t="shared" si="8"/>
        <v>0</v>
      </c>
      <c r="J110" s="84">
        <f t="shared" si="9"/>
        <v>0</v>
      </c>
      <c r="K110" s="80">
        <f t="shared" si="10"/>
        <v>0</v>
      </c>
      <c r="L110" s="36"/>
      <c r="M110" s="56"/>
      <c r="N110" s="58"/>
    </row>
    <row r="111" ht="15.75" customHeight="1">
      <c r="B111" s="51"/>
      <c r="C111" s="53"/>
      <c r="D111" s="53"/>
      <c r="E111" s="53"/>
      <c r="F111" s="53"/>
      <c r="G111" s="54">
        <f t="shared" si="6"/>
        <v>0</v>
      </c>
      <c r="H111" s="82">
        <f t="shared" si="7"/>
        <v>0</v>
      </c>
      <c r="I111" s="83">
        <f t="shared" si="8"/>
        <v>0</v>
      </c>
      <c r="J111" s="84">
        <f t="shared" si="9"/>
        <v>0</v>
      </c>
      <c r="K111" s="80">
        <f t="shared" si="10"/>
        <v>0</v>
      </c>
      <c r="L111" s="36"/>
      <c r="M111" s="56"/>
      <c r="N111" s="58"/>
    </row>
    <row r="112" ht="15.75" customHeight="1">
      <c r="B112" s="51"/>
      <c r="C112" s="53"/>
      <c r="D112" s="53"/>
      <c r="E112" s="53"/>
      <c r="F112" s="53"/>
      <c r="G112" s="54">
        <f t="shared" si="6"/>
        <v>0</v>
      </c>
      <c r="H112" s="82">
        <f t="shared" si="7"/>
        <v>0</v>
      </c>
      <c r="I112" s="83">
        <f t="shared" si="8"/>
        <v>0</v>
      </c>
      <c r="J112" s="84">
        <f t="shared" si="9"/>
        <v>0</v>
      </c>
      <c r="K112" s="80">
        <f t="shared" si="10"/>
        <v>0</v>
      </c>
      <c r="L112" s="36"/>
      <c r="M112" s="56"/>
      <c r="N112" s="58"/>
    </row>
    <row r="113" ht="15.75" customHeight="1">
      <c r="B113" s="51"/>
      <c r="C113" s="53"/>
      <c r="D113" s="53"/>
      <c r="E113" s="53"/>
      <c r="F113" s="53"/>
      <c r="G113" s="54">
        <f t="shared" si="6"/>
        <v>0</v>
      </c>
      <c r="H113" s="82">
        <f t="shared" si="7"/>
        <v>0</v>
      </c>
      <c r="I113" s="83">
        <f t="shared" si="8"/>
        <v>0</v>
      </c>
      <c r="J113" s="84">
        <f t="shared" si="9"/>
        <v>0</v>
      </c>
      <c r="K113" s="80">
        <f t="shared" si="10"/>
        <v>0</v>
      </c>
      <c r="L113" s="36"/>
      <c r="M113" s="56"/>
      <c r="N113" s="58"/>
    </row>
    <row r="114" ht="15.75" customHeight="1">
      <c r="B114" s="51"/>
      <c r="C114" s="53"/>
      <c r="D114" s="53"/>
      <c r="E114" s="53"/>
      <c r="F114" s="53"/>
      <c r="G114" s="54">
        <f t="shared" si="6"/>
        <v>0</v>
      </c>
      <c r="H114" s="82">
        <f t="shared" si="7"/>
        <v>0</v>
      </c>
      <c r="I114" s="83">
        <f t="shared" si="8"/>
        <v>0</v>
      </c>
      <c r="J114" s="84">
        <f t="shared" si="9"/>
        <v>0</v>
      </c>
      <c r="K114" s="80">
        <f t="shared" si="10"/>
        <v>0</v>
      </c>
      <c r="L114" s="36"/>
      <c r="M114" s="56"/>
      <c r="N114" s="58"/>
    </row>
    <row r="115" ht="15.75" customHeight="1">
      <c r="B115" s="51"/>
      <c r="C115" s="53"/>
      <c r="D115" s="53"/>
      <c r="E115" s="53"/>
      <c r="F115" s="53"/>
      <c r="G115" s="54">
        <f t="shared" si="6"/>
        <v>0</v>
      </c>
      <c r="H115" s="82">
        <f t="shared" si="7"/>
        <v>0</v>
      </c>
      <c r="I115" s="83">
        <f t="shared" si="8"/>
        <v>0</v>
      </c>
      <c r="J115" s="84">
        <f t="shared" si="9"/>
        <v>0</v>
      </c>
      <c r="K115" s="80">
        <f t="shared" si="10"/>
        <v>0</v>
      </c>
      <c r="L115" s="36"/>
      <c r="M115" s="56"/>
      <c r="N115" s="58"/>
    </row>
    <row r="116" ht="15.75" customHeight="1">
      <c r="B116" s="51"/>
      <c r="C116" s="53"/>
      <c r="D116" s="53"/>
      <c r="E116" s="53"/>
      <c r="F116" s="53"/>
      <c r="G116" s="54">
        <f t="shared" si="6"/>
        <v>0</v>
      </c>
      <c r="H116" s="82">
        <f t="shared" si="7"/>
        <v>0</v>
      </c>
      <c r="I116" s="83">
        <f t="shared" si="8"/>
        <v>0</v>
      </c>
      <c r="J116" s="84">
        <f t="shared" si="9"/>
        <v>0</v>
      </c>
      <c r="K116" s="80">
        <f t="shared" si="10"/>
        <v>0</v>
      </c>
      <c r="L116" s="36"/>
      <c r="M116" s="56"/>
      <c r="N116" s="58"/>
    </row>
    <row r="117" ht="15.75" customHeight="1">
      <c r="B117" s="51"/>
      <c r="C117" s="53"/>
      <c r="D117" s="53"/>
      <c r="E117" s="53"/>
      <c r="F117" s="53"/>
      <c r="G117" s="54">
        <f t="shared" si="6"/>
        <v>0</v>
      </c>
      <c r="H117" s="82">
        <f t="shared" si="7"/>
        <v>0</v>
      </c>
      <c r="I117" s="83">
        <f t="shared" si="8"/>
        <v>0</v>
      </c>
      <c r="J117" s="84">
        <f t="shared" si="9"/>
        <v>0</v>
      </c>
      <c r="K117" s="80">
        <f t="shared" si="10"/>
        <v>0</v>
      </c>
      <c r="L117" s="36"/>
      <c r="M117" s="56"/>
      <c r="N117" s="58"/>
    </row>
    <row r="118" ht="15.75" customHeight="1">
      <c r="B118" s="51"/>
      <c r="C118" s="53"/>
      <c r="D118" s="53"/>
      <c r="E118" s="53"/>
      <c r="F118" s="53"/>
      <c r="G118" s="54">
        <f t="shared" si="6"/>
        <v>0</v>
      </c>
      <c r="H118" s="82">
        <f t="shared" si="7"/>
        <v>0</v>
      </c>
      <c r="I118" s="83">
        <f t="shared" si="8"/>
        <v>0</v>
      </c>
      <c r="J118" s="84">
        <f t="shared" si="9"/>
        <v>0</v>
      </c>
      <c r="K118" s="80">
        <f t="shared" si="10"/>
        <v>0</v>
      </c>
      <c r="L118" s="36"/>
      <c r="M118" s="56"/>
      <c r="N118" s="58"/>
    </row>
    <row r="119" ht="15.75" customHeight="1">
      <c r="B119" s="51"/>
      <c r="C119" s="53"/>
      <c r="D119" s="53"/>
      <c r="E119" s="53"/>
      <c r="F119" s="53"/>
      <c r="G119" s="54">
        <f t="shared" si="6"/>
        <v>0</v>
      </c>
      <c r="H119" s="82">
        <f t="shared" si="7"/>
        <v>0</v>
      </c>
      <c r="I119" s="83">
        <f t="shared" si="8"/>
        <v>0</v>
      </c>
      <c r="J119" s="84">
        <f t="shared" si="9"/>
        <v>0</v>
      </c>
      <c r="K119" s="80">
        <f t="shared" si="10"/>
        <v>0</v>
      </c>
      <c r="L119" s="36"/>
      <c r="M119" s="56"/>
      <c r="N119" s="58"/>
    </row>
    <row r="120" ht="15.75" customHeight="1">
      <c r="B120" s="51"/>
      <c r="C120" s="53"/>
      <c r="D120" s="53"/>
      <c r="E120" s="53"/>
      <c r="F120" s="53"/>
      <c r="G120" s="54">
        <f t="shared" si="6"/>
        <v>0</v>
      </c>
      <c r="H120" s="82">
        <f t="shared" si="7"/>
        <v>0</v>
      </c>
      <c r="I120" s="83">
        <f t="shared" si="8"/>
        <v>0</v>
      </c>
      <c r="J120" s="84">
        <f t="shared" si="9"/>
        <v>0</v>
      </c>
      <c r="K120" s="80">
        <f t="shared" si="10"/>
        <v>0</v>
      </c>
      <c r="L120" s="36"/>
      <c r="M120" s="56"/>
      <c r="N120" s="58"/>
    </row>
    <row r="121" ht="15.75" customHeight="1">
      <c r="B121" s="51"/>
      <c r="C121" s="53"/>
      <c r="D121" s="53"/>
      <c r="E121" s="53"/>
      <c r="F121" s="53"/>
      <c r="G121" s="54">
        <f t="shared" si="6"/>
        <v>0</v>
      </c>
      <c r="H121" s="82">
        <f t="shared" si="7"/>
        <v>0</v>
      </c>
      <c r="I121" s="83">
        <f t="shared" si="8"/>
        <v>0</v>
      </c>
      <c r="J121" s="84">
        <f t="shared" si="9"/>
        <v>0</v>
      </c>
      <c r="K121" s="80">
        <f t="shared" si="10"/>
        <v>0</v>
      </c>
      <c r="L121" s="36"/>
      <c r="M121" s="56"/>
      <c r="N121" s="58"/>
    </row>
    <row r="122" ht="15.75" customHeight="1">
      <c r="B122" s="51"/>
      <c r="C122" s="53"/>
      <c r="D122" s="53"/>
      <c r="E122" s="53"/>
      <c r="F122" s="53"/>
      <c r="G122" s="54">
        <f t="shared" si="6"/>
        <v>0</v>
      </c>
      <c r="H122" s="82">
        <f t="shared" si="7"/>
        <v>0</v>
      </c>
      <c r="I122" s="83">
        <f t="shared" si="8"/>
        <v>0</v>
      </c>
      <c r="J122" s="84">
        <f t="shared" si="9"/>
        <v>0</v>
      </c>
      <c r="K122" s="80">
        <f t="shared" si="10"/>
        <v>0</v>
      </c>
      <c r="L122" s="36"/>
      <c r="M122" s="56"/>
      <c r="N122" s="58"/>
    </row>
    <row r="123" ht="15.75" customHeight="1">
      <c r="B123" s="51"/>
      <c r="C123" s="53"/>
      <c r="D123" s="53"/>
      <c r="E123" s="53"/>
      <c r="F123" s="53"/>
      <c r="G123" s="54">
        <f t="shared" si="6"/>
        <v>0</v>
      </c>
      <c r="H123" s="82">
        <f t="shared" si="7"/>
        <v>0</v>
      </c>
      <c r="I123" s="83">
        <f t="shared" si="8"/>
        <v>0</v>
      </c>
      <c r="J123" s="84">
        <f t="shared" si="9"/>
        <v>0</v>
      </c>
      <c r="K123" s="80">
        <f t="shared" si="10"/>
        <v>0</v>
      </c>
      <c r="L123" s="36"/>
      <c r="M123" s="56"/>
      <c r="N123" s="58"/>
    </row>
    <row r="124" ht="15.75" customHeight="1">
      <c r="B124" s="51"/>
      <c r="C124" s="53"/>
      <c r="D124" s="53"/>
      <c r="E124" s="53"/>
      <c r="F124" s="53"/>
      <c r="G124" s="54">
        <f t="shared" si="6"/>
        <v>0</v>
      </c>
      <c r="H124" s="82">
        <f t="shared" si="7"/>
        <v>0</v>
      </c>
      <c r="I124" s="83">
        <f t="shared" si="8"/>
        <v>0</v>
      </c>
      <c r="J124" s="84">
        <f t="shared" si="9"/>
        <v>0</v>
      </c>
      <c r="K124" s="80">
        <f t="shared" si="10"/>
        <v>0</v>
      </c>
      <c r="L124" s="36"/>
      <c r="M124" s="56"/>
      <c r="N124" s="58"/>
    </row>
    <row r="125" ht="15.75" customHeight="1">
      <c r="B125" s="51"/>
      <c r="C125" s="53"/>
      <c r="D125" s="53"/>
      <c r="E125" s="53"/>
      <c r="F125" s="53"/>
      <c r="G125" s="54">
        <f t="shared" si="6"/>
        <v>0</v>
      </c>
      <c r="H125" s="82">
        <f t="shared" si="7"/>
        <v>0</v>
      </c>
      <c r="I125" s="83">
        <f t="shared" si="8"/>
        <v>0</v>
      </c>
      <c r="J125" s="84">
        <f t="shared" si="9"/>
        <v>0</v>
      </c>
      <c r="K125" s="80">
        <f t="shared" si="10"/>
        <v>0</v>
      </c>
      <c r="L125" s="36"/>
      <c r="M125" s="56"/>
      <c r="N125" s="58"/>
    </row>
    <row r="126" ht="15.75" customHeight="1">
      <c r="B126" s="51"/>
      <c r="C126" s="53"/>
      <c r="D126" s="53"/>
      <c r="E126" s="53"/>
      <c r="F126" s="53"/>
      <c r="G126" s="54">
        <f t="shared" si="6"/>
        <v>0</v>
      </c>
      <c r="H126" s="82">
        <f t="shared" si="7"/>
        <v>0</v>
      </c>
      <c r="I126" s="83">
        <f t="shared" si="8"/>
        <v>0</v>
      </c>
      <c r="J126" s="84">
        <f t="shared" si="9"/>
        <v>0</v>
      </c>
      <c r="K126" s="80">
        <f t="shared" si="10"/>
        <v>0</v>
      </c>
      <c r="L126" s="36"/>
      <c r="M126" s="56"/>
      <c r="N126" s="58"/>
    </row>
    <row r="127" ht="15.75" customHeight="1">
      <c r="B127" s="51"/>
      <c r="C127" s="53"/>
      <c r="D127" s="53"/>
      <c r="E127" s="53"/>
      <c r="F127" s="53"/>
      <c r="G127" s="54">
        <f t="shared" si="6"/>
        <v>0</v>
      </c>
      <c r="H127" s="82">
        <f t="shared" si="7"/>
        <v>0</v>
      </c>
      <c r="I127" s="83">
        <f t="shared" si="8"/>
        <v>0</v>
      </c>
      <c r="J127" s="84">
        <f t="shared" si="9"/>
        <v>0</v>
      </c>
      <c r="K127" s="80">
        <f t="shared" si="10"/>
        <v>0</v>
      </c>
      <c r="L127" s="36"/>
      <c r="M127" s="56"/>
      <c r="N127" s="58"/>
    </row>
    <row r="128" ht="15.75" customHeight="1">
      <c r="B128" s="51"/>
      <c r="C128" s="53"/>
      <c r="D128" s="53"/>
      <c r="E128" s="53"/>
      <c r="F128" s="53"/>
      <c r="G128" s="54">
        <f t="shared" si="6"/>
        <v>0</v>
      </c>
      <c r="H128" s="82">
        <f t="shared" si="7"/>
        <v>0</v>
      </c>
      <c r="I128" s="83">
        <f t="shared" si="8"/>
        <v>0</v>
      </c>
      <c r="J128" s="84">
        <f t="shared" si="9"/>
        <v>0</v>
      </c>
      <c r="K128" s="80">
        <f t="shared" si="10"/>
        <v>0</v>
      </c>
      <c r="L128" s="36"/>
      <c r="M128" s="56"/>
      <c r="N128" s="58"/>
    </row>
    <row r="129" ht="15.75" customHeight="1">
      <c r="B129" s="51"/>
      <c r="C129" s="53"/>
      <c r="D129" s="53"/>
      <c r="E129" s="53"/>
      <c r="F129" s="53"/>
      <c r="G129" s="54">
        <f t="shared" si="6"/>
        <v>0</v>
      </c>
      <c r="H129" s="82">
        <f t="shared" si="7"/>
        <v>0</v>
      </c>
      <c r="I129" s="83">
        <f t="shared" si="8"/>
        <v>0</v>
      </c>
      <c r="J129" s="84">
        <f t="shared" si="9"/>
        <v>0</v>
      </c>
      <c r="K129" s="80">
        <f t="shared" si="10"/>
        <v>0</v>
      </c>
      <c r="L129" s="36"/>
      <c r="M129" s="56"/>
      <c r="N129" s="58"/>
    </row>
    <row r="130" ht="15.75" customHeight="1">
      <c r="B130" s="51"/>
      <c r="C130" s="53"/>
      <c r="D130" s="53"/>
      <c r="E130" s="53"/>
      <c r="F130" s="53"/>
      <c r="G130" s="54">
        <f t="shared" si="6"/>
        <v>0</v>
      </c>
      <c r="H130" s="82">
        <f t="shared" si="7"/>
        <v>0</v>
      </c>
      <c r="I130" s="83">
        <f t="shared" si="8"/>
        <v>0</v>
      </c>
      <c r="J130" s="84">
        <f t="shared" si="9"/>
        <v>0</v>
      </c>
      <c r="K130" s="80">
        <f t="shared" si="10"/>
        <v>0</v>
      </c>
      <c r="L130" s="36"/>
      <c r="M130" s="56"/>
      <c r="N130" s="58"/>
    </row>
    <row r="131" ht="15.75" customHeight="1">
      <c r="B131" s="51"/>
      <c r="C131" s="53"/>
      <c r="D131" s="53"/>
      <c r="E131" s="53"/>
      <c r="F131" s="53"/>
      <c r="G131" s="54">
        <f t="shared" si="6"/>
        <v>0</v>
      </c>
      <c r="H131" s="82">
        <f t="shared" si="7"/>
        <v>0</v>
      </c>
      <c r="I131" s="83">
        <f t="shared" si="8"/>
        <v>0</v>
      </c>
      <c r="J131" s="84">
        <f t="shared" si="9"/>
        <v>0</v>
      </c>
      <c r="K131" s="80">
        <f t="shared" si="10"/>
        <v>0</v>
      </c>
      <c r="L131" s="36"/>
      <c r="M131" s="56"/>
      <c r="N131" s="58"/>
    </row>
    <row r="132" ht="15.75" customHeight="1">
      <c r="B132" s="51"/>
      <c r="C132" s="53"/>
      <c r="D132" s="53"/>
      <c r="E132" s="53"/>
      <c r="F132" s="53"/>
      <c r="G132" s="54">
        <f t="shared" si="6"/>
        <v>0</v>
      </c>
      <c r="H132" s="82">
        <f t="shared" si="7"/>
        <v>0</v>
      </c>
      <c r="I132" s="83">
        <f t="shared" si="8"/>
        <v>0</v>
      </c>
      <c r="J132" s="84">
        <f t="shared" si="9"/>
        <v>0</v>
      </c>
      <c r="K132" s="80">
        <f t="shared" si="10"/>
        <v>0</v>
      </c>
      <c r="L132" s="36"/>
      <c r="M132" s="56"/>
      <c r="N132" s="58"/>
    </row>
    <row r="133" ht="15.75" customHeight="1">
      <c r="B133" s="51"/>
      <c r="C133" s="53"/>
      <c r="D133" s="53"/>
      <c r="E133" s="53"/>
      <c r="F133" s="53"/>
      <c r="G133" s="54">
        <f t="shared" si="6"/>
        <v>0</v>
      </c>
      <c r="H133" s="82">
        <f t="shared" si="7"/>
        <v>0</v>
      </c>
      <c r="I133" s="83">
        <f t="shared" si="8"/>
        <v>0</v>
      </c>
      <c r="J133" s="84">
        <f t="shared" si="9"/>
        <v>0</v>
      </c>
      <c r="K133" s="80">
        <f t="shared" si="10"/>
        <v>0</v>
      </c>
      <c r="L133" s="36"/>
      <c r="M133" s="56"/>
      <c r="N133" s="58"/>
    </row>
    <row r="134" ht="15.75" customHeight="1">
      <c r="B134" s="51"/>
      <c r="C134" s="53"/>
      <c r="D134" s="53"/>
      <c r="E134" s="53"/>
      <c r="F134" s="53"/>
      <c r="G134" s="54">
        <f t="shared" si="6"/>
        <v>0</v>
      </c>
      <c r="H134" s="82">
        <f t="shared" si="7"/>
        <v>0</v>
      </c>
      <c r="I134" s="83">
        <f t="shared" si="8"/>
        <v>0</v>
      </c>
      <c r="J134" s="84">
        <f t="shared" si="9"/>
        <v>0</v>
      </c>
      <c r="K134" s="80">
        <f t="shared" si="10"/>
        <v>0</v>
      </c>
      <c r="L134" s="36"/>
      <c r="M134" s="56"/>
      <c r="N134" s="58"/>
    </row>
    <row r="135" ht="15.75" customHeight="1">
      <c r="B135" s="51"/>
      <c r="C135" s="53"/>
      <c r="D135" s="53"/>
      <c r="E135" s="53"/>
      <c r="F135" s="53"/>
      <c r="G135" s="54">
        <f t="shared" si="6"/>
        <v>0</v>
      </c>
      <c r="H135" s="82">
        <f t="shared" si="7"/>
        <v>0</v>
      </c>
      <c r="I135" s="83">
        <f t="shared" si="8"/>
        <v>0</v>
      </c>
      <c r="J135" s="84">
        <f t="shared" si="9"/>
        <v>0</v>
      </c>
      <c r="K135" s="80">
        <f t="shared" si="10"/>
        <v>0</v>
      </c>
      <c r="L135" s="36"/>
      <c r="M135" s="56"/>
      <c r="N135" s="58"/>
    </row>
    <row r="136" ht="15.75" customHeight="1">
      <c r="B136" s="51"/>
      <c r="C136" s="53"/>
      <c r="D136" s="53"/>
      <c r="E136" s="53"/>
      <c r="F136" s="53"/>
      <c r="G136" s="54">
        <f t="shared" si="6"/>
        <v>0</v>
      </c>
      <c r="H136" s="82">
        <f t="shared" si="7"/>
        <v>0</v>
      </c>
      <c r="I136" s="83">
        <f t="shared" si="8"/>
        <v>0</v>
      </c>
      <c r="J136" s="84">
        <f t="shared" si="9"/>
        <v>0</v>
      </c>
      <c r="K136" s="80">
        <f t="shared" si="10"/>
        <v>0</v>
      </c>
      <c r="L136" s="36"/>
      <c r="M136" s="56"/>
      <c r="N136" s="58"/>
    </row>
    <row r="137" ht="15.75" customHeight="1">
      <c r="B137" s="51"/>
      <c r="C137" s="53"/>
      <c r="D137" s="53"/>
      <c r="E137" s="53"/>
      <c r="F137" s="53"/>
      <c r="G137" s="54">
        <f t="shared" si="6"/>
        <v>0</v>
      </c>
      <c r="H137" s="82">
        <f t="shared" si="7"/>
        <v>0</v>
      </c>
      <c r="I137" s="83">
        <f t="shared" si="8"/>
        <v>0</v>
      </c>
      <c r="J137" s="84">
        <f t="shared" si="9"/>
        <v>0</v>
      </c>
      <c r="K137" s="80">
        <f t="shared" si="10"/>
        <v>0</v>
      </c>
      <c r="L137" s="36"/>
      <c r="M137" s="56"/>
      <c r="N137" s="58"/>
    </row>
    <row r="138" ht="15.75" customHeight="1">
      <c r="B138" s="51"/>
      <c r="C138" s="53"/>
      <c r="D138" s="53"/>
      <c r="E138" s="53"/>
      <c r="F138" s="53"/>
      <c r="G138" s="54">
        <f t="shared" si="6"/>
        <v>0</v>
      </c>
      <c r="H138" s="82">
        <f t="shared" si="7"/>
        <v>0</v>
      </c>
      <c r="I138" s="83">
        <f t="shared" si="8"/>
        <v>0</v>
      </c>
      <c r="J138" s="84">
        <f t="shared" si="9"/>
        <v>0</v>
      </c>
      <c r="K138" s="80">
        <f t="shared" si="10"/>
        <v>0</v>
      </c>
      <c r="L138" s="36"/>
      <c r="M138" s="56"/>
      <c r="N138" s="58"/>
    </row>
    <row r="139" ht="15.75" customHeight="1">
      <c r="B139" s="51"/>
      <c r="C139" s="53"/>
      <c r="D139" s="53"/>
      <c r="E139" s="53"/>
      <c r="F139" s="53"/>
      <c r="G139" s="54">
        <f t="shared" si="6"/>
        <v>0</v>
      </c>
      <c r="H139" s="82">
        <f t="shared" si="7"/>
        <v>0</v>
      </c>
      <c r="I139" s="83">
        <f t="shared" si="8"/>
        <v>0</v>
      </c>
      <c r="J139" s="84">
        <f t="shared" si="9"/>
        <v>0</v>
      </c>
      <c r="K139" s="80">
        <f t="shared" si="10"/>
        <v>0</v>
      </c>
      <c r="L139" s="36"/>
      <c r="M139" s="56"/>
      <c r="N139" s="58"/>
    </row>
    <row r="140" ht="15.75" customHeight="1">
      <c r="B140" s="51"/>
      <c r="C140" s="53"/>
      <c r="D140" s="53"/>
      <c r="E140" s="53"/>
      <c r="F140" s="53"/>
      <c r="G140" s="54">
        <f t="shared" si="6"/>
        <v>0</v>
      </c>
      <c r="H140" s="82">
        <f t="shared" si="7"/>
        <v>0</v>
      </c>
      <c r="I140" s="83">
        <f t="shared" si="8"/>
        <v>0</v>
      </c>
      <c r="J140" s="84">
        <f t="shared" si="9"/>
        <v>0</v>
      </c>
      <c r="K140" s="80">
        <f t="shared" si="10"/>
        <v>0</v>
      </c>
      <c r="L140" s="36"/>
      <c r="M140" s="56"/>
      <c r="N140" s="58"/>
    </row>
    <row r="141" ht="15.75" customHeight="1">
      <c r="B141" s="51"/>
      <c r="C141" s="53"/>
      <c r="D141" s="53"/>
      <c r="E141" s="53"/>
      <c r="F141" s="53"/>
      <c r="G141" s="54">
        <f t="shared" si="6"/>
        <v>0</v>
      </c>
      <c r="H141" s="82">
        <f t="shared" si="7"/>
        <v>0</v>
      </c>
      <c r="I141" s="83">
        <f t="shared" si="8"/>
        <v>0</v>
      </c>
      <c r="J141" s="84">
        <f t="shared" si="9"/>
        <v>0</v>
      </c>
      <c r="K141" s="80">
        <f t="shared" si="10"/>
        <v>0</v>
      </c>
      <c r="L141" s="36"/>
      <c r="M141" s="56"/>
      <c r="N141" s="58"/>
    </row>
    <row r="142" ht="15.75" customHeight="1">
      <c r="B142" s="51"/>
      <c r="C142" s="53"/>
      <c r="D142" s="53"/>
      <c r="E142" s="53"/>
      <c r="F142" s="53"/>
      <c r="G142" s="54">
        <f t="shared" si="6"/>
        <v>0</v>
      </c>
      <c r="H142" s="82">
        <f t="shared" si="7"/>
        <v>0</v>
      </c>
      <c r="I142" s="83">
        <f t="shared" si="8"/>
        <v>0</v>
      </c>
      <c r="J142" s="84">
        <f t="shared" si="9"/>
        <v>0</v>
      </c>
      <c r="K142" s="80">
        <f t="shared" si="10"/>
        <v>0</v>
      </c>
      <c r="L142" s="36"/>
      <c r="M142" s="56"/>
      <c r="N142" s="58"/>
    </row>
    <row r="143" ht="15.75" customHeight="1">
      <c r="B143" s="51"/>
      <c r="C143" s="53"/>
      <c r="D143" s="53"/>
      <c r="E143" s="53"/>
      <c r="F143" s="53"/>
      <c r="G143" s="54">
        <f t="shared" si="6"/>
        <v>0</v>
      </c>
      <c r="H143" s="82">
        <f t="shared" si="7"/>
        <v>0</v>
      </c>
      <c r="I143" s="83">
        <f t="shared" si="8"/>
        <v>0</v>
      </c>
      <c r="J143" s="84">
        <f t="shared" si="9"/>
        <v>0</v>
      </c>
      <c r="K143" s="80">
        <f t="shared" si="10"/>
        <v>0</v>
      </c>
      <c r="L143" s="36"/>
      <c r="M143" s="56"/>
      <c r="N143" s="58"/>
    </row>
    <row r="144" ht="15.75" customHeight="1">
      <c r="B144" s="51"/>
      <c r="C144" s="53"/>
      <c r="D144" s="53"/>
      <c r="E144" s="53"/>
      <c r="F144" s="53"/>
      <c r="G144" s="54">
        <f t="shared" si="6"/>
        <v>0</v>
      </c>
      <c r="H144" s="82">
        <f t="shared" si="7"/>
        <v>0</v>
      </c>
      <c r="I144" s="83">
        <f t="shared" si="8"/>
        <v>0</v>
      </c>
      <c r="J144" s="84">
        <f t="shared" si="9"/>
        <v>0</v>
      </c>
      <c r="K144" s="80">
        <f t="shared" si="10"/>
        <v>0</v>
      </c>
      <c r="L144" s="36"/>
      <c r="M144" s="56"/>
      <c r="N144" s="58"/>
    </row>
    <row r="145" ht="15.75" customHeight="1">
      <c r="B145" s="51"/>
      <c r="C145" s="53"/>
      <c r="D145" s="53"/>
      <c r="E145" s="53"/>
      <c r="F145" s="53"/>
      <c r="G145" s="54">
        <f t="shared" si="6"/>
        <v>0</v>
      </c>
      <c r="H145" s="82">
        <f t="shared" si="7"/>
        <v>0</v>
      </c>
      <c r="I145" s="83">
        <f t="shared" si="8"/>
        <v>0</v>
      </c>
      <c r="J145" s="84">
        <f t="shared" si="9"/>
        <v>0</v>
      </c>
      <c r="K145" s="80">
        <f t="shared" si="10"/>
        <v>0</v>
      </c>
      <c r="L145" s="36"/>
      <c r="M145" s="56"/>
      <c r="N145" s="58"/>
    </row>
    <row r="146" ht="15.75" customHeight="1">
      <c r="B146" s="51"/>
      <c r="C146" s="53"/>
      <c r="D146" s="53"/>
      <c r="E146" s="53"/>
      <c r="F146" s="53"/>
      <c r="G146" s="54">
        <f t="shared" si="6"/>
        <v>0</v>
      </c>
      <c r="H146" s="82">
        <f t="shared" si="7"/>
        <v>0</v>
      </c>
      <c r="I146" s="83">
        <f t="shared" si="8"/>
        <v>0</v>
      </c>
      <c r="J146" s="84">
        <f t="shared" si="9"/>
        <v>0</v>
      </c>
      <c r="K146" s="80">
        <f t="shared" si="10"/>
        <v>0</v>
      </c>
      <c r="L146" s="36"/>
      <c r="M146" s="56"/>
      <c r="N146" s="58"/>
    </row>
    <row r="147" ht="15.75" customHeight="1">
      <c r="B147" s="51"/>
      <c r="C147" s="53"/>
      <c r="D147" s="53"/>
      <c r="E147" s="53"/>
      <c r="F147" s="53"/>
      <c r="G147" s="54">
        <f t="shared" si="6"/>
        <v>0</v>
      </c>
      <c r="H147" s="82">
        <f t="shared" si="7"/>
        <v>0</v>
      </c>
      <c r="I147" s="83">
        <f t="shared" si="8"/>
        <v>0</v>
      </c>
      <c r="J147" s="84">
        <f t="shared" si="9"/>
        <v>0</v>
      </c>
      <c r="K147" s="80">
        <f t="shared" si="10"/>
        <v>0</v>
      </c>
      <c r="L147" s="36"/>
      <c r="M147" s="56"/>
      <c r="N147" s="58"/>
    </row>
    <row r="148" ht="15.75" customHeight="1">
      <c r="B148" s="51"/>
      <c r="C148" s="53"/>
      <c r="D148" s="53"/>
      <c r="E148" s="53"/>
      <c r="F148" s="53"/>
      <c r="G148" s="54">
        <f t="shared" si="6"/>
        <v>0</v>
      </c>
      <c r="H148" s="82">
        <f t="shared" si="7"/>
        <v>0</v>
      </c>
      <c r="I148" s="83">
        <f t="shared" si="8"/>
        <v>0</v>
      </c>
      <c r="J148" s="84">
        <f t="shared" si="9"/>
        <v>0</v>
      </c>
      <c r="K148" s="80">
        <f t="shared" si="10"/>
        <v>0</v>
      </c>
      <c r="L148" s="36"/>
      <c r="M148" s="56"/>
      <c r="N148" s="58"/>
    </row>
    <row r="149" ht="15.75" customHeight="1">
      <c r="B149" s="51"/>
      <c r="C149" s="53"/>
      <c r="D149" s="53"/>
      <c r="E149" s="53"/>
      <c r="F149" s="53"/>
      <c r="G149" s="54">
        <f t="shared" si="6"/>
        <v>0</v>
      </c>
      <c r="H149" s="82">
        <f t="shared" si="7"/>
        <v>0</v>
      </c>
      <c r="I149" s="83">
        <f t="shared" si="8"/>
        <v>0</v>
      </c>
      <c r="J149" s="84">
        <f t="shared" si="9"/>
        <v>0</v>
      </c>
      <c r="K149" s="80">
        <f t="shared" si="10"/>
        <v>0</v>
      </c>
      <c r="L149" s="36"/>
      <c r="M149" s="56"/>
      <c r="N149" s="58"/>
    </row>
    <row r="150" ht="15.75" customHeight="1">
      <c r="B150" s="51"/>
      <c r="C150" s="53"/>
      <c r="D150" s="53"/>
      <c r="E150" s="53"/>
      <c r="F150" s="53"/>
      <c r="G150" s="54">
        <f t="shared" si="6"/>
        <v>0</v>
      </c>
      <c r="H150" s="82">
        <f t="shared" si="7"/>
        <v>0</v>
      </c>
      <c r="I150" s="83">
        <f t="shared" si="8"/>
        <v>0</v>
      </c>
      <c r="J150" s="84">
        <f t="shared" si="9"/>
        <v>0</v>
      </c>
      <c r="K150" s="80">
        <f t="shared" si="10"/>
        <v>0</v>
      </c>
      <c r="L150" s="36"/>
      <c r="M150" s="56"/>
      <c r="N150" s="58"/>
    </row>
    <row r="151" ht="15.75" customHeight="1">
      <c r="B151" s="51"/>
      <c r="C151" s="53"/>
      <c r="D151" s="53"/>
      <c r="E151" s="53"/>
      <c r="F151" s="53"/>
      <c r="G151" s="54">
        <f t="shared" si="6"/>
        <v>0</v>
      </c>
      <c r="H151" s="82">
        <f t="shared" si="7"/>
        <v>0</v>
      </c>
      <c r="I151" s="83">
        <f t="shared" si="8"/>
        <v>0</v>
      </c>
      <c r="J151" s="84">
        <f t="shared" si="9"/>
        <v>0</v>
      </c>
      <c r="K151" s="80">
        <f t="shared" si="10"/>
        <v>0</v>
      </c>
      <c r="L151" s="36"/>
      <c r="M151" s="56"/>
      <c r="N151" s="58"/>
    </row>
    <row r="152" ht="15.75" customHeight="1">
      <c r="B152" s="51"/>
      <c r="C152" s="53"/>
      <c r="D152" s="53"/>
      <c r="E152" s="53"/>
      <c r="F152" s="53"/>
      <c r="G152" s="54">
        <f t="shared" si="6"/>
        <v>0</v>
      </c>
      <c r="H152" s="82">
        <f t="shared" si="7"/>
        <v>0</v>
      </c>
      <c r="I152" s="83">
        <f t="shared" si="8"/>
        <v>0</v>
      </c>
      <c r="J152" s="84">
        <f t="shared" si="9"/>
        <v>0</v>
      </c>
      <c r="K152" s="80">
        <f t="shared" si="10"/>
        <v>0</v>
      </c>
      <c r="L152" s="36"/>
      <c r="M152" s="56"/>
      <c r="N152" s="58"/>
    </row>
    <row r="153" ht="15.75" customHeight="1">
      <c r="B153" s="51"/>
      <c r="C153" s="53"/>
      <c r="D153" s="53"/>
      <c r="E153" s="53"/>
      <c r="F153" s="53"/>
      <c r="G153" s="54">
        <f t="shared" si="6"/>
        <v>0</v>
      </c>
      <c r="H153" s="82">
        <f t="shared" si="7"/>
        <v>0</v>
      </c>
      <c r="I153" s="83">
        <f t="shared" si="8"/>
        <v>0</v>
      </c>
      <c r="J153" s="84">
        <f t="shared" si="9"/>
        <v>0</v>
      </c>
      <c r="K153" s="80">
        <f t="shared" si="10"/>
        <v>0</v>
      </c>
      <c r="L153" s="36"/>
      <c r="M153" s="56"/>
      <c r="N153" s="58"/>
    </row>
    <row r="154" ht="15.75" customHeight="1">
      <c r="B154" s="51"/>
      <c r="C154" s="53"/>
      <c r="D154" s="53"/>
      <c r="E154" s="53"/>
      <c r="F154" s="53"/>
      <c r="G154" s="54">
        <f t="shared" si="6"/>
        <v>0</v>
      </c>
      <c r="H154" s="82">
        <f t="shared" si="7"/>
        <v>0</v>
      </c>
      <c r="I154" s="83">
        <f t="shared" si="8"/>
        <v>0</v>
      </c>
      <c r="J154" s="84">
        <f t="shared" si="9"/>
        <v>0</v>
      </c>
      <c r="K154" s="80">
        <f t="shared" si="10"/>
        <v>0</v>
      </c>
      <c r="L154" s="36"/>
      <c r="M154" s="56"/>
      <c r="N154" s="58"/>
    </row>
    <row r="155" ht="15.75" customHeight="1">
      <c r="B155" s="51"/>
      <c r="C155" s="53"/>
      <c r="D155" s="53"/>
      <c r="E155" s="53"/>
      <c r="F155" s="53"/>
      <c r="G155" s="54">
        <f t="shared" si="6"/>
        <v>0</v>
      </c>
      <c r="H155" s="82">
        <f t="shared" si="7"/>
        <v>0</v>
      </c>
      <c r="I155" s="83">
        <f t="shared" si="8"/>
        <v>0</v>
      </c>
      <c r="J155" s="84">
        <f t="shared" si="9"/>
        <v>0</v>
      </c>
      <c r="K155" s="80">
        <f t="shared" si="10"/>
        <v>0</v>
      </c>
      <c r="L155" s="36"/>
      <c r="M155" s="56"/>
      <c r="N155" s="58"/>
    </row>
    <row r="156" ht="15.75" customHeight="1">
      <c r="B156" s="51"/>
      <c r="C156" s="53"/>
      <c r="D156" s="53"/>
      <c r="E156" s="53"/>
      <c r="F156" s="53"/>
      <c r="G156" s="54">
        <f t="shared" si="6"/>
        <v>0</v>
      </c>
      <c r="H156" s="82">
        <f t="shared" si="7"/>
        <v>0</v>
      </c>
      <c r="I156" s="83">
        <f t="shared" si="8"/>
        <v>0</v>
      </c>
      <c r="J156" s="84">
        <f t="shared" si="9"/>
        <v>0</v>
      </c>
      <c r="K156" s="80">
        <f t="shared" si="10"/>
        <v>0</v>
      </c>
      <c r="L156" s="36"/>
      <c r="M156" s="56"/>
      <c r="N156" s="58"/>
    </row>
    <row r="157" ht="15.75" customHeight="1">
      <c r="B157" s="51"/>
      <c r="C157" s="53"/>
      <c r="D157" s="53"/>
      <c r="E157" s="53"/>
      <c r="F157" s="53"/>
      <c r="G157" s="54">
        <f t="shared" si="6"/>
        <v>0</v>
      </c>
      <c r="H157" s="82">
        <f t="shared" si="7"/>
        <v>0</v>
      </c>
      <c r="I157" s="83">
        <f t="shared" si="8"/>
        <v>0</v>
      </c>
      <c r="J157" s="84">
        <f t="shared" si="9"/>
        <v>0</v>
      </c>
      <c r="K157" s="80">
        <f t="shared" si="10"/>
        <v>0</v>
      </c>
      <c r="L157" s="36"/>
      <c r="M157" s="56"/>
      <c r="N157" s="58"/>
    </row>
    <row r="158" ht="15.75" customHeight="1">
      <c r="B158" s="51"/>
      <c r="C158" s="53"/>
      <c r="D158" s="53"/>
      <c r="E158" s="53"/>
      <c r="F158" s="53"/>
      <c r="G158" s="54">
        <f t="shared" si="6"/>
        <v>0</v>
      </c>
      <c r="H158" s="82">
        <f t="shared" si="7"/>
        <v>0</v>
      </c>
      <c r="I158" s="83">
        <f t="shared" si="8"/>
        <v>0</v>
      </c>
      <c r="J158" s="84">
        <f t="shared" si="9"/>
        <v>0</v>
      </c>
      <c r="K158" s="80">
        <f t="shared" si="10"/>
        <v>0</v>
      </c>
      <c r="L158" s="36"/>
      <c r="M158" s="56"/>
      <c r="N158" s="58"/>
    </row>
    <row r="159" ht="15.75" customHeight="1">
      <c r="B159" s="51"/>
      <c r="C159" s="53"/>
      <c r="D159" s="53"/>
      <c r="E159" s="53"/>
      <c r="F159" s="53"/>
      <c r="G159" s="54">
        <f t="shared" si="6"/>
        <v>0</v>
      </c>
      <c r="H159" s="82">
        <f t="shared" si="7"/>
        <v>0</v>
      </c>
      <c r="I159" s="83">
        <f t="shared" si="8"/>
        <v>0</v>
      </c>
      <c r="J159" s="84">
        <f t="shared" si="9"/>
        <v>0</v>
      </c>
      <c r="K159" s="80">
        <f t="shared" si="10"/>
        <v>0</v>
      </c>
      <c r="L159" s="36"/>
      <c r="M159" s="56"/>
      <c r="N159" s="58"/>
    </row>
    <row r="160" ht="15.75" customHeight="1">
      <c r="B160" s="51"/>
      <c r="C160" s="53"/>
      <c r="D160" s="53"/>
      <c r="E160" s="53"/>
      <c r="F160" s="53"/>
      <c r="G160" s="54">
        <f t="shared" si="6"/>
        <v>0</v>
      </c>
      <c r="H160" s="82">
        <f t="shared" si="7"/>
        <v>0</v>
      </c>
      <c r="I160" s="83">
        <f t="shared" si="8"/>
        <v>0</v>
      </c>
      <c r="J160" s="84">
        <f t="shared" si="9"/>
        <v>0</v>
      </c>
      <c r="K160" s="80">
        <f t="shared" si="10"/>
        <v>0</v>
      </c>
      <c r="L160" s="36"/>
      <c r="M160" s="56"/>
      <c r="N160" s="58"/>
    </row>
    <row r="161" ht="15.75" customHeight="1">
      <c r="B161" s="51"/>
      <c r="C161" s="53"/>
      <c r="D161" s="53"/>
      <c r="E161" s="53"/>
      <c r="F161" s="53"/>
      <c r="G161" s="54">
        <f t="shared" si="6"/>
        <v>0</v>
      </c>
      <c r="H161" s="82">
        <f t="shared" si="7"/>
        <v>0</v>
      </c>
      <c r="I161" s="83">
        <f t="shared" si="8"/>
        <v>0</v>
      </c>
      <c r="J161" s="84">
        <f t="shared" si="9"/>
        <v>0</v>
      </c>
      <c r="K161" s="80">
        <f t="shared" si="10"/>
        <v>0</v>
      </c>
      <c r="L161" s="36"/>
      <c r="M161" s="56"/>
      <c r="N161" s="58"/>
    </row>
    <row r="162" ht="15.75" customHeight="1">
      <c r="B162" s="51"/>
      <c r="C162" s="53"/>
      <c r="D162" s="53"/>
      <c r="E162" s="53"/>
      <c r="F162" s="53"/>
      <c r="G162" s="54">
        <f t="shared" si="6"/>
        <v>0</v>
      </c>
      <c r="H162" s="82">
        <f t="shared" si="7"/>
        <v>0</v>
      </c>
      <c r="I162" s="83">
        <f t="shared" si="8"/>
        <v>0</v>
      </c>
      <c r="J162" s="84">
        <f t="shared" si="9"/>
        <v>0</v>
      </c>
      <c r="K162" s="80">
        <f t="shared" si="10"/>
        <v>0</v>
      </c>
      <c r="L162" s="36"/>
      <c r="M162" s="56"/>
      <c r="N162" s="58"/>
    </row>
    <row r="163" ht="15.75" customHeight="1">
      <c r="B163" s="51"/>
      <c r="C163" s="53"/>
      <c r="D163" s="53"/>
      <c r="E163" s="53"/>
      <c r="F163" s="53"/>
      <c r="G163" s="54">
        <f t="shared" si="6"/>
        <v>0</v>
      </c>
      <c r="H163" s="82">
        <f t="shared" si="7"/>
        <v>0</v>
      </c>
      <c r="I163" s="83">
        <f t="shared" si="8"/>
        <v>0</v>
      </c>
      <c r="J163" s="84">
        <f t="shared" si="9"/>
        <v>0</v>
      </c>
      <c r="K163" s="80">
        <f t="shared" si="10"/>
        <v>0</v>
      </c>
      <c r="L163" s="36"/>
      <c r="M163" s="56"/>
      <c r="N163" s="58"/>
    </row>
    <row r="164" ht="15.75" customHeight="1">
      <c r="B164" s="51"/>
      <c r="C164" s="53"/>
      <c r="D164" s="53"/>
      <c r="E164" s="53"/>
      <c r="F164" s="53"/>
      <c r="G164" s="54">
        <f t="shared" si="6"/>
        <v>0</v>
      </c>
      <c r="H164" s="82">
        <f t="shared" si="7"/>
        <v>0</v>
      </c>
      <c r="I164" s="83">
        <f t="shared" si="8"/>
        <v>0</v>
      </c>
      <c r="J164" s="84">
        <f t="shared" si="9"/>
        <v>0</v>
      </c>
      <c r="K164" s="80">
        <f t="shared" si="10"/>
        <v>0</v>
      </c>
      <c r="L164" s="36"/>
      <c r="M164" s="56"/>
      <c r="N164" s="58"/>
    </row>
    <row r="165" ht="15.75" customHeight="1">
      <c r="B165" s="51"/>
      <c r="C165" s="53"/>
      <c r="D165" s="53"/>
      <c r="E165" s="53"/>
      <c r="F165" s="53"/>
      <c r="G165" s="54">
        <f t="shared" si="6"/>
        <v>0</v>
      </c>
      <c r="H165" s="82">
        <f t="shared" si="7"/>
        <v>0</v>
      </c>
      <c r="I165" s="83">
        <f t="shared" si="8"/>
        <v>0</v>
      </c>
      <c r="J165" s="84">
        <f t="shared" si="9"/>
        <v>0</v>
      </c>
      <c r="K165" s="80">
        <f t="shared" si="10"/>
        <v>0</v>
      </c>
      <c r="L165" s="36"/>
      <c r="M165" s="56"/>
      <c r="N165" s="58"/>
    </row>
    <row r="166" ht="15.75" customHeight="1">
      <c r="B166" s="51"/>
      <c r="C166" s="53"/>
      <c r="D166" s="53"/>
      <c r="E166" s="53"/>
      <c r="F166" s="53"/>
      <c r="G166" s="54">
        <f t="shared" si="6"/>
        <v>0</v>
      </c>
      <c r="H166" s="82">
        <f t="shared" si="7"/>
        <v>0</v>
      </c>
      <c r="I166" s="83">
        <f t="shared" si="8"/>
        <v>0</v>
      </c>
      <c r="J166" s="84">
        <f t="shared" si="9"/>
        <v>0</v>
      </c>
      <c r="K166" s="80">
        <f t="shared" si="10"/>
        <v>0</v>
      </c>
      <c r="L166" s="36"/>
      <c r="M166" s="56"/>
      <c r="N166" s="58"/>
    </row>
    <row r="167" ht="15.75" customHeight="1">
      <c r="B167" s="51"/>
      <c r="C167" s="53"/>
      <c r="D167" s="53"/>
      <c r="E167" s="53"/>
      <c r="F167" s="53"/>
      <c r="G167" s="54">
        <f t="shared" si="6"/>
        <v>0</v>
      </c>
      <c r="H167" s="82">
        <f t="shared" si="7"/>
        <v>0</v>
      </c>
      <c r="I167" s="83">
        <f t="shared" si="8"/>
        <v>0</v>
      </c>
      <c r="J167" s="84">
        <f t="shared" si="9"/>
        <v>0</v>
      </c>
      <c r="K167" s="80">
        <f t="shared" si="10"/>
        <v>0</v>
      </c>
      <c r="L167" s="36"/>
      <c r="M167" s="56"/>
      <c r="N167" s="58"/>
    </row>
    <row r="168" ht="15.75" customHeight="1">
      <c r="B168" s="51"/>
      <c r="C168" s="53"/>
      <c r="D168" s="53"/>
      <c r="E168" s="53"/>
      <c r="F168" s="53"/>
      <c r="G168" s="54">
        <f t="shared" si="6"/>
        <v>0</v>
      </c>
      <c r="H168" s="82">
        <f t="shared" si="7"/>
        <v>0</v>
      </c>
      <c r="I168" s="83">
        <f t="shared" si="8"/>
        <v>0</v>
      </c>
      <c r="J168" s="84">
        <f t="shared" si="9"/>
        <v>0</v>
      </c>
      <c r="K168" s="80">
        <f t="shared" si="10"/>
        <v>0</v>
      </c>
      <c r="L168" s="36"/>
      <c r="M168" s="56"/>
      <c r="N168" s="58"/>
    </row>
    <row r="169" ht="15.75" customHeight="1">
      <c r="B169" s="51"/>
      <c r="C169" s="53"/>
      <c r="D169" s="53"/>
      <c r="E169" s="53"/>
      <c r="F169" s="53"/>
      <c r="G169" s="54">
        <f t="shared" si="6"/>
        <v>0</v>
      </c>
      <c r="H169" s="82">
        <f t="shared" si="7"/>
        <v>0</v>
      </c>
      <c r="I169" s="83">
        <f t="shared" si="8"/>
        <v>0</v>
      </c>
      <c r="J169" s="84">
        <f t="shared" si="9"/>
        <v>0</v>
      </c>
      <c r="K169" s="80">
        <f t="shared" si="10"/>
        <v>0</v>
      </c>
      <c r="L169" s="36"/>
      <c r="M169" s="56"/>
      <c r="N169" s="58"/>
    </row>
    <row r="170" ht="15.75" customHeight="1">
      <c r="B170" s="51"/>
      <c r="C170" s="53"/>
      <c r="D170" s="53"/>
      <c r="E170" s="53"/>
      <c r="F170" s="53"/>
      <c r="G170" s="54">
        <f t="shared" si="6"/>
        <v>0</v>
      </c>
      <c r="H170" s="82">
        <f t="shared" si="7"/>
        <v>0</v>
      </c>
      <c r="I170" s="83">
        <f t="shared" si="8"/>
        <v>0</v>
      </c>
      <c r="J170" s="84">
        <f t="shared" si="9"/>
        <v>0</v>
      </c>
      <c r="K170" s="80">
        <f t="shared" si="10"/>
        <v>0</v>
      </c>
      <c r="L170" s="36"/>
      <c r="M170" s="56"/>
      <c r="N170" s="58"/>
    </row>
    <row r="171" ht="15.75" customHeight="1">
      <c r="B171" s="51"/>
      <c r="C171" s="53"/>
      <c r="D171" s="53"/>
      <c r="E171" s="53"/>
      <c r="F171" s="53"/>
      <c r="G171" s="54">
        <f t="shared" si="6"/>
        <v>0</v>
      </c>
      <c r="H171" s="82">
        <f t="shared" si="7"/>
        <v>0</v>
      </c>
      <c r="I171" s="83">
        <f t="shared" si="8"/>
        <v>0</v>
      </c>
      <c r="J171" s="84">
        <f t="shared" si="9"/>
        <v>0</v>
      </c>
      <c r="K171" s="80">
        <f t="shared" si="10"/>
        <v>0</v>
      </c>
      <c r="L171" s="36"/>
      <c r="M171" s="56"/>
      <c r="N171" s="58"/>
    </row>
    <row r="172" ht="15.75" customHeight="1">
      <c r="B172" s="51"/>
      <c r="C172" s="53"/>
      <c r="D172" s="53"/>
      <c r="E172" s="53"/>
      <c r="F172" s="53"/>
      <c r="G172" s="54">
        <f t="shared" si="6"/>
        <v>0</v>
      </c>
      <c r="H172" s="82">
        <f t="shared" si="7"/>
        <v>0</v>
      </c>
      <c r="I172" s="83">
        <f t="shared" si="8"/>
        <v>0</v>
      </c>
      <c r="J172" s="84">
        <f t="shared" si="9"/>
        <v>0</v>
      </c>
      <c r="K172" s="80">
        <f t="shared" si="10"/>
        <v>0</v>
      </c>
      <c r="L172" s="36"/>
      <c r="M172" s="56"/>
      <c r="N172" s="58"/>
    </row>
    <row r="173" ht="15.75" customHeight="1">
      <c r="B173" s="51"/>
      <c r="C173" s="53"/>
      <c r="D173" s="53"/>
      <c r="E173" s="53"/>
      <c r="F173" s="53"/>
      <c r="G173" s="54">
        <f t="shared" si="6"/>
        <v>0</v>
      </c>
      <c r="H173" s="82">
        <f t="shared" si="7"/>
        <v>0</v>
      </c>
      <c r="I173" s="83">
        <f t="shared" si="8"/>
        <v>0</v>
      </c>
      <c r="J173" s="84">
        <f t="shared" si="9"/>
        <v>0</v>
      </c>
      <c r="K173" s="80">
        <f t="shared" si="10"/>
        <v>0</v>
      </c>
      <c r="L173" s="36"/>
      <c r="M173" s="56"/>
      <c r="N173" s="58"/>
    </row>
    <row r="174" ht="15.75" customHeight="1">
      <c r="B174" s="51"/>
      <c r="C174" s="53"/>
      <c r="D174" s="53"/>
      <c r="E174" s="53"/>
      <c r="F174" s="53"/>
      <c r="G174" s="54">
        <f t="shared" si="6"/>
        <v>0</v>
      </c>
      <c r="H174" s="82">
        <f t="shared" si="7"/>
        <v>0</v>
      </c>
      <c r="I174" s="83">
        <f t="shared" si="8"/>
        <v>0</v>
      </c>
      <c r="J174" s="84">
        <f t="shared" si="9"/>
        <v>0</v>
      </c>
      <c r="K174" s="80">
        <f t="shared" si="10"/>
        <v>0</v>
      </c>
      <c r="L174" s="36"/>
      <c r="M174" s="56"/>
      <c r="N174" s="58"/>
    </row>
    <row r="175" ht="15.75" customHeight="1">
      <c r="B175" s="51"/>
      <c r="C175" s="53"/>
      <c r="D175" s="53"/>
      <c r="E175" s="53"/>
      <c r="F175" s="53"/>
      <c r="G175" s="54">
        <f t="shared" si="6"/>
        <v>0</v>
      </c>
      <c r="H175" s="82">
        <f t="shared" si="7"/>
        <v>0</v>
      </c>
      <c r="I175" s="83">
        <f t="shared" si="8"/>
        <v>0</v>
      </c>
      <c r="J175" s="84">
        <f t="shared" si="9"/>
        <v>0</v>
      </c>
      <c r="K175" s="80">
        <f t="shared" si="10"/>
        <v>0</v>
      </c>
      <c r="L175" s="36"/>
      <c r="M175" s="56"/>
      <c r="N175" s="58"/>
    </row>
    <row r="176" ht="15.75" customHeight="1">
      <c r="B176" s="51"/>
      <c r="C176" s="53"/>
      <c r="D176" s="53"/>
      <c r="E176" s="53"/>
      <c r="F176" s="53"/>
      <c r="G176" s="54">
        <f t="shared" si="6"/>
        <v>0</v>
      </c>
      <c r="H176" s="82">
        <f t="shared" si="7"/>
        <v>0</v>
      </c>
      <c r="I176" s="83">
        <f t="shared" si="8"/>
        <v>0</v>
      </c>
      <c r="J176" s="84">
        <f t="shared" si="9"/>
        <v>0</v>
      </c>
      <c r="K176" s="80">
        <f t="shared" si="10"/>
        <v>0</v>
      </c>
      <c r="L176" s="36"/>
      <c r="M176" s="56"/>
      <c r="N176" s="58"/>
    </row>
    <row r="177" ht="15.75" customHeight="1">
      <c r="B177" s="51"/>
      <c r="C177" s="53"/>
      <c r="D177" s="53"/>
      <c r="E177" s="53"/>
      <c r="F177" s="53"/>
      <c r="G177" s="54">
        <f t="shared" si="6"/>
        <v>0</v>
      </c>
      <c r="H177" s="82">
        <f t="shared" si="7"/>
        <v>0</v>
      </c>
      <c r="I177" s="83">
        <f t="shared" si="8"/>
        <v>0</v>
      </c>
      <c r="J177" s="84">
        <f t="shared" si="9"/>
        <v>0</v>
      </c>
      <c r="K177" s="80">
        <f t="shared" si="10"/>
        <v>0</v>
      </c>
      <c r="L177" s="36"/>
      <c r="M177" s="56"/>
      <c r="N177" s="58"/>
    </row>
    <row r="178" ht="15.75" customHeight="1">
      <c r="B178" s="51"/>
      <c r="C178" s="53"/>
      <c r="D178" s="53"/>
      <c r="E178" s="53"/>
      <c r="F178" s="53"/>
      <c r="G178" s="54">
        <f t="shared" si="6"/>
        <v>0</v>
      </c>
      <c r="H178" s="82">
        <f t="shared" si="7"/>
        <v>0</v>
      </c>
      <c r="I178" s="83">
        <f t="shared" si="8"/>
        <v>0</v>
      </c>
      <c r="J178" s="84">
        <f t="shared" si="9"/>
        <v>0</v>
      </c>
      <c r="K178" s="80">
        <f t="shared" si="10"/>
        <v>0</v>
      </c>
      <c r="L178" s="36"/>
      <c r="M178" s="56"/>
      <c r="N178" s="58"/>
    </row>
    <row r="179" ht="15.75" customHeight="1">
      <c r="B179" s="51"/>
      <c r="C179" s="53"/>
      <c r="D179" s="53"/>
      <c r="E179" s="53"/>
      <c r="F179" s="53"/>
      <c r="G179" s="54">
        <f t="shared" si="6"/>
        <v>0</v>
      </c>
      <c r="H179" s="82">
        <f t="shared" si="7"/>
        <v>0</v>
      </c>
      <c r="I179" s="83">
        <f t="shared" si="8"/>
        <v>0</v>
      </c>
      <c r="J179" s="84">
        <f t="shared" si="9"/>
        <v>0</v>
      </c>
      <c r="K179" s="80">
        <f t="shared" si="10"/>
        <v>0</v>
      </c>
      <c r="L179" s="36"/>
      <c r="M179" s="56"/>
      <c r="N179" s="58"/>
    </row>
    <row r="180" ht="15.75" customHeight="1">
      <c r="B180" s="51"/>
      <c r="C180" s="53"/>
      <c r="D180" s="53"/>
      <c r="E180" s="53"/>
      <c r="F180" s="53"/>
      <c r="G180" s="54">
        <f t="shared" si="6"/>
        <v>0</v>
      </c>
      <c r="H180" s="82">
        <f t="shared" si="7"/>
        <v>0</v>
      </c>
      <c r="I180" s="83">
        <f t="shared" si="8"/>
        <v>0</v>
      </c>
      <c r="J180" s="84">
        <f t="shared" si="9"/>
        <v>0</v>
      </c>
      <c r="K180" s="80">
        <f t="shared" si="10"/>
        <v>0</v>
      </c>
      <c r="L180" s="36"/>
      <c r="M180" s="56"/>
      <c r="N180" s="58"/>
    </row>
    <row r="181" ht="15.75" customHeight="1">
      <c r="B181" s="51"/>
      <c r="C181" s="53"/>
      <c r="D181" s="53"/>
      <c r="E181" s="53"/>
      <c r="F181" s="53"/>
      <c r="G181" s="54">
        <f t="shared" si="6"/>
        <v>0</v>
      </c>
      <c r="H181" s="82">
        <f t="shared" si="7"/>
        <v>0</v>
      </c>
      <c r="I181" s="83">
        <f t="shared" si="8"/>
        <v>0</v>
      </c>
      <c r="J181" s="84">
        <f t="shared" si="9"/>
        <v>0</v>
      </c>
      <c r="K181" s="80">
        <f t="shared" si="10"/>
        <v>0</v>
      </c>
      <c r="L181" s="36"/>
      <c r="M181" s="56"/>
      <c r="N181" s="58"/>
    </row>
    <row r="182" ht="15.75" customHeight="1">
      <c r="B182" s="51"/>
      <c r="C182" s="53"/>
      <c r="D182" s="53"/>
      <c r="E182" s="53"/>
      <c r="F182" s="53"/>
      <c r="G182" s="54">
        <f t="shared" si="6"/>
        <v>0</v>
      </c>
      <c r="H182" s="82">
        <f t="shared" si="7"/>
        <v>0</v>
      </c>
      <c r="I182" s="83">
        <f t="shared" si="8"/>
        <v>0</v>
      </c>
      <c r="J182" s="84">
        <f t="shared" si="9"/>
        <v>0</v>
      </c>
      <c r="K182" s="80">
        <f t="shared" si="10"/>
        <v>0</v>
      </c>
      <c r="L182" s="36"/>
      <c r="M182" s="56"/>
      <c r="N182" s="58"/>
    </row>
    <row r="183" ht="15.75" customHeight="1">
      <c r="B183" s="51"/>
      <c r="C183" s="53"/>
      <c r="D183" s="53"/>
      <c r="E183" s="53"/>
      <c r="F183" s="53"/>
      <c r="G183" s="54">
        <f t="shared" si="6"/>
        <v>0</v>
      </c>
      <c r="H183" s="82">
        <f t="shared" si="7"/>
        <v>0</v>
      </c>
      <c r="I183" s="83">
        <f t="shared" si="8"/>
        <v>0</v>
      </c>
      <c r="J183" s="84">
        <f t="shared" si="9"/>
        <v>0</v>
      </c>
      <c r="K183" s="80">
        <f t="shared" si="10"/>
        <v>0</v>
      </c>
      <c r="L183" s="36"/>
      <c r="M183" s="56"/>
      <c r="N183" s="58"/>
    </row>
    <row r="184" ht="15.75" customHeight="1">
      <c r="B184" s="51"/>
      <c r="C184" s="53"/>
      <c r="D184" s="53"/>
      <c r="E184" s="53"/>
      <c r="F184" s="53"/>
      <c r="G184" s="54">
        <f t="shared" si="6"/>
        <v>0</v>
      </c>
      <c r="H184" s="82">
        <f t="shared" si="7"/>
        <v>0</v>
      </c>
      <c r="I184" s="83">
        <f t="shared" si="8"/>
        <v>0</v>
      </c>
      <c r="J184" s="84">
        <f t="shared" si="9"/>
        <v>0</v>
      </c>
      <c r="K184" s="80">
        <f t="shared" si="10"/>
        <v>0</v>
      </c>
      <c r="L184" s="36"/>
      <c r="M184" s="56"/>
      <c r="N184" s="58"/>
    </row>
    <row r="185" ht="15.75" customHeight="1">
      <c r="B185" s="51"/>
      <c r="C185" s="53"/>
      <c r="D185" s="53"/>
      <c r="E185" s="53"/>
      <c r="F185" s="53"/>
      <c r="G185" s="54">
        <f t="shared" si="6"/>
        <v>0</v>
      </c>
      <c r="H185" s="82">
        <f t="shared" si="7"/>
        <v>0</v>
      </c>
      <c r="I185" s="83">
        <f t="shared" si="8"/>
        <v>0</v>
      </c>
      <c r="J185" s="84">
        <f t="shared" si="9"/>
        <v>0</v>
      </c>
      <c r="K185" s="80">
        <f t="shared" si="10"/>
        <v>0</v>
      </c>
      <c r="L185" s="36"/>
      <c r="M185" s="56"/>
      <c r="N185" s="58"/>
    </row>
    <row r="186" ht="15.75" customHeight="1">
      <c r="B186" s="51"/>
      <c r="C186" s="53"/>
      <c r="D186" s="53"/>
      <c r="E186" s="53"/>
      <c r="F186" s="53"/>
      <c r="G186" s="54">
        <f t="shared" si="6"/>
        <v>0</v>
      </c>
      <c r="H186" s="82">
        <f t="shared" si="7"/>
        <v>0</v>
      </c>
      <c r="I186" s="83">
        <f t="shared" si="8"/>
        <v>0</v>
      </c>
      <c r="J186" s="84">
        <f t="shared" si="9"/>
        <v>0</v>
      </c>
      <c r="K186" s="80">
        <f t="shared" si="10"/>
        <v>0</v>
      </c>
      <c r="L186" s="36"/>
      <c r="M186" s="56"/>
      <c r="N186" s="58"/>
    </row>
    <row r="187" ht="15.75" customHeight="1">
      <c r="B187" s="51"/>
      <c r="C187" s="53"/>
      <c r="D187" s="53"/>
      <c r="E187" s="53"/>
      <c r="F187" s="53"/>
      <c r="G187" s="54">
        <f t="shared" si="6"/>
        <v>0</v>
      </c>
      <c r="H187" s="82">
        <f t="shared" si="7"/>
        <v>0</v>
      </c>
      <c r="I187" s="83">
        <f t="shared" si="8"/>
        <v>0</v>
      </c>
      <c r="J187" s="84">
        <f t="shared" si="9"/>
        <v>0</v>
      </c>
      <c r="K187" s="80">
        <f t="shared" si="10"/>
        <v>0</v>
      </c>
      <c r="L187" s="36"/>
      <c r="M187" s="56"/>
      <c r="N187" s="58"/>
    </row>
    <row r="188" ht="15.75" customHeight="1">
      <c r="B188" s="51"/>
      <c r="C188" s="53"/>
      <c r="D188" s="53"/>
      <c r="E188" s="53"/>
      <c r="F188" s="53"/>
      <c r="G188" s="54">
        <f t="shared" si="6"/>
        <v>0</v>
      </c>
      <c r="H188" s="82">
        <f t="shared" si="7"/>
        <v>0</v>
      </c>
      <c r="I188" s="83">
        <f t="shared" si="8"/>
        <v>0</v>
      </c>
      <c r="J188" s="84">
        <f t="shared" si="9"/>
        <v>0</v>
      </c>
      <c r="K188" s="80">
        <f t="shared" si="10"/>
        <v>0</v>
      </c>
      <c r="L188" s="36"/>
      <c r="M188" s="56"/>
      <c r="N188" s="58"/>
    </row>
    <row r="189" ht="15.75" customHeight="1">
      <c r="B189" s="51"/>
      <c r="C189" s="53"/>
      <c r="D189" s="53"/>
      <c r="E189" s="53"/>
      <c r="F189" s="53"/>
      <c r="G189" s="54">
        <f t="shared" si="6"/>
        <v>0</v>
      </c>
      <c r="H189" s="82">
        <f t="shared" si="7"/>
        <v>0</v>
      </c>
      <c r="I189" s="83">
        <f t="shared" si="8"/>
        <v>0</v>
      </c>
      <c r="J189" s="84">
        <f t="shared" si="9"/>
        <v>0</v>
      </c>
      <c r="K189" s="80">
        <f t="shared" si="10"/>
        <v>0</v>
      </c>
      <c r="L189" s="36"/>
      <c r="M189" s="56"/>
      <c r="N189" s="58"/>
    </row>
    <row r="190" ht="15.75" customHeight="1">
      <c r="B190" s="51"/>
      <c r="C190" s="53"/>
      <c r="D190" s="53"/>
      <c r="E190" s="53"/>
      <c r="F190" s="53"/>
      <c r="G190" s="54">
        <f t="shared" si="6"/>
        <v>0</v>
      </c>
      <c r="H190" s="82">
        <f t="shared" si="7"/>
        <v>0</v>
      </c>
      <c r="I190" s="83">
        <f t="shared" si="8"/>
        <v>0</v>
      </c>
      <c r="J190" s="84">
        <f t="shared" si="9"/>
        <v>0</v>
      </c>
      <c r="K190" s="80">
        <f t="shared" si="10"/>
        <v>0</v>
      </c>
      <c r="L190" s="36"/>
      <c r="M190" s="56"/>
      <c r="N190" s="58"/>
    </row>
    <row r="191" ht="15.75" customHeight="1">
      <c r="B191" s="51"/>
      <c r="C191" s="53"/>
      <c r="D191" s="53"/>
      <c r="E191" s="53"/>
      <c r="F191" s="53"/>
      <c r="G191" s="54">
        <f t="shared" si="6"/>
        <v>0</v>
      </c>
      <c r="H191" s="82">
        <f t="shared" si="7"/>
        <v>0</v>
      </c>
      <c r="I191" s="83">
        <f t="shared" si="8"/>
        <v>0</v>
      </c>
      <c r="J191" s="84">
        <f t="shared" si="9"/>
        <v>0</v>
      </c>
      <c r="K191" s="80">
        <f t="shared" si="10"/>
        <v>0</v>
      </c>
      <c r="L191" s="36"/>
      <c r="M191" s="56"/>
      <c r="N191" s="58"/>
    </row>
    <row r="192" ht="15.75" customHeight="1">
      <c r="B192" s="51"/>
      <c r="C192" s="53"/>
      <c r="D192" s="53"/>
      <c r="E192" s="53"/>
      <c r="F192" s="53"/>
      <c r="G192" s="54">
        <f t="shared" si="6"/>
        <v>0</v>
      </c>
      <c r="H192" s="82">
        <f t="shared" si="7"/>
        <v>0</v>
      </c>
      <c r="I192" s="83">
        <f t="shared" si="8"/>
        <v>0</v>
      </c>
      <c r="J192" s="84">
        <f t="shared" si="9"/>
        <v>0</v>
      </c>
      <c r="K192" s="80">
        <f t="shared" si="10"/>
        <v>0</v>
      </c>
      <c r="L192" s="36"/>
      <c r="M192" s="56"/>
      <c r="N192" s="58"/>
    </row>
    <row r="193" ht="15.75" customHeight="1">
      <c r="B193" s="51"/>
      <c r="C193" s="53"/>
      <c r="D193" s="53"/>
      <c r="E193" s="53"/>
      <c r="F193" s="53"/>
      <c r="G193" s="54">
        <f t="shared" si="6"/>
        <v>0</v>
      </c>
      <c r="H193" s="82">
        <f t="shared" si="7"/>
        <v>0</v>
      </c>
      <c r="I193" s="83">
        <f t="shared" si="8"/>
        <v>0</v>
      </c>
      <c r="J193" s="84">
        <f t="shared" si="9"/>
        <v>0</v>
      </c>
      <c r="K193" s="80">
        <f t="shared" si="10"/>
        <v>0</v>
      </c>
      <c r="L193" s="36"/>
      <c r="M193" s="56"/>
      <c r="N193" s="58"/>
    </row>
    <row r="194" ht="15.75" customHeight="1">
      <c r="B194" s="51"/>
      <c r="C194" s="53"/>
      <c r="D194" s="53"/>
      <c r="E194" s="53"/>
      <c r="F194" s="53"/>
      <c r="G194" s="54">
        <f t="shared" si="6"/>
        <v>0</v>
      </c>
      <c r="H194" s="82">
        <f t="shared" si="7"/>
        <v>0</v>
      </c>
      <c r="I194" s="83">
        <f t="shared" si="8"/>
        <v>0</v>
      </c>
      <c r="J194" s="84">
        <f t="shared" si="9"/>
        <v>0</v>
      </c>
      <c r="K194" s="80">
        <f t="shared" si="10"/>
        <v>0</v>
      </c>
      <c r="L194" s="36"/>
      <c r="M194" s="56"/>
      <c r="N194" s="58"/>
    </row>
    <row r="195" ht="15.75" customHeight="1">
      <c r="B195" s="51"/>
      <c r="C195" s="53"/>
      <c r="D195" s="53"/>
      <c r="E195" s="53"/>
      <c r="F195" s="53"/>
      <c r="G195" s="54">
        <f t="shared" si="6"/>
        <v>0</v>
      </c>
      <c r="H195" s="82">
        <f t="shared" si="7"/>
        <v>0</v>
      </c>
      <c r="I195" s="83">
        <f t="shared" si="8"/>
        <v>0</v>
      </c>
      <c r="J195" s="84">
        <f t="shared" si="9"/>
        <v>0</v>
      </c>
      <c r="K195" s="80">
        <f t="shared" si="10"/>
        <v>0</v>
      </c>
      <c r="L195" s="36"/>
      <c r="M195" s="56"/>
      <c r="N195" s="58"/>
    </row>
    <row r="196" ht="15.75" customHeight="1">
      <c r="B196" s="51"/>
      <c r="C196" s="53"/>
      <c r="D196" s="53"/>
      <c r="E196" s="53"/>
      <c r="F196" s="53"/>
      <c r="G196" s="54">
        <f t="shared" si="6"/>
        <v>0</v>
      </c>
      <c r="H196" s="82">
        <f t="shared" si="7"/>
        <v>0</v>
      </c>
      <c r="I196" s="83">
        <f t="shared" si="8"/>
        <v>0</v>
      </c>
      <c r="J196" s="84">
        <f t="shared" si="9"/>
        <v>0</v>
      </c>
      <c r="K196" s="80">
        <f t="shared" si="10"/>
        <v>0</v>
      </c>
      <c r="L196" s="36"/>
      <c r="M196" s="56"/>
      <c r="N196" s="58"/>
    </row>
    <row r="197" ht="15.75" customHeight="1">
      <c r="B197" s="51"/>
      <c r="C197" s="53"/>
      <c r="D197" s="53"/>
      <c r="E197" s="53"/>
      <c r="F197" s="53"/>
      <c r="G197" s="54">
        <f t="shared" si="6"/>
        <v>0</v>
      </c>
      <c r="H197" s="82">
        <f t="shared" si="7"/>
        <v>0</v>
      </c>
      <c r="I197" s="83">
        <f t="shared" si="8"/>
        <v>0</v>
      </c>
      <c r="J197" s="84">
        <f t="shared" si="9"/>
        <v>0</v>
      </c>
      <c r="K197" s="80">
        <f t="shared" si="10"/>
        <v>0</v>
      </c>
      <c r="L197" s="36"/>
      <c r="M197" s="56"/>
      <c r="N197" s="58"/>
    </row>
    <row r="198" ht="15.75" customHeight="1">
      <c r="B198" s="51"/>
      <c r="C198" s="53"/>
      <c r="D198" s="53"/>
      <c r="E198" s="53"/>
      <c r="F198" s="53"/>
      <c r="G198" s="54">
        <f t="shared" si="6"/>
        <v>0</v>
      </c>
      <c r="H198" s="82">
        <f t="shared" si="7"/>
        <v>0</v>
      </c>
      <c r="I198" s="83">
        <f t="shared" si="8"/>
        <v>0</v>
      </c>
      <c r="J198" s="84">
        <f t="shared" si="9"/>
        <v>0</v>
      </c>
      <c r="K198" s="80">
        <f t="shared" si="10"/>
        <v>0</v>
      </c>
      <c r="L198" s="36"/>
      <c r="M198" s="56"/>
      <c r="N198" s="58"/>
    </row>
    <row r="199" ht="15.75" customHeight="1">
      <c r="B199" s="51"/>
      <c r="C199" s="53"/>
      <c r="D199" s="53"/>
      <c r="E199" s="53"/>
      <c r="F199" s="53"/>
      <c r="G199" s="54">
        <f t="shared" si="6"/>
        <v>0</v>
      </c>
      <c r="H199" s="82">
        <f t="shared" si="7"/>
        <v>0</v>
      </c>
      <c r="I199" s="83">
        <f t="shared" si="8"/>
        <v>0</v>
      </c>
      <c r="J199" s="84">
        <f t="shared" si="9"/>
        <v>0</v>
      </c>
      <c r="K199" s="80">
        <f t="shared" si="10"/>
        <v>0</v>
      </c>
      <c r="L199" s="36"/>
      <c r="M199" s="56"/>
      <c r="N199" s="58"/>
    </row>
    <row r="200" ht="15.75" customHeight="1">
      <c r="B200" s="51"/>
      <c r="C200" s="53"/>
      <c r="D200" s="53"/>
      <c r="E200" s="53"/>
      <c r="F200" s="53"/>
      <c r="G200" s="54">
        <f t="shared" si="6"/>
        <v>0</v>
      </c>
      <c r="H200" s="82">
        <f t="shared" si="7"/>
        <v>0</v>
      </c>
      <c r="I200" s="83">
        <f t="shared" si="8"/>
        <v>0</v>
      </c>
      <c r="J200" s="84">
        <f t="shared" si="9"/>
        <v>0</v>
      </c>
      <c r="K200" s="80">
        <f t="shared" si="10"/>
        <v>0</v>
      </c>
      <c r="L200" s="36"/>
      <c r="M200" s="56"/>
      <c r="N200" s="58"/>
    </row>
    <row r="201" ht="15.75" customHeight="1">
      <c r="B201" s="51"/>
      <c r="C201" s="53"/>
      <c r="D201" s="53"/>
      <c r="E201" s="53"/>
      <c r="F201" s="53"/>
      <c r="G201" s="54">
        <f t="shared" si="6"/>
        <v>0</v>
      </c>
      <c r="H201" s="82">
        <f t="shared" si="7"/>
        <v>0</v>
      </c>
      <c r="I201" s="83">
        <f t="shared" si="8"/>
        <v>0</v>
      </c>
      <c r="J201" s="84">
        <f t="shared" si="9"/>
        <v>0</v>
      </c>
      <c r="K201" s="80">
        <f t="shared" si="10"/>
        <v>0</v>
      </c>
      <c r="L201" s="36"/>
      <c r="M201" s="56"/>
      <c r="N201" s="58"/>
    </row>
    <row r="202" ht="15.75" customHeight="1">
      <c r="B202" s="51"/>
      <c r="C202" s="53"/>
      <c r="D202" s="53"/>
      <c r="E202" s="53"/>
      <c r="F202" s="53"/>
      <c r="G202" s="54">
        <f t="shared" si="6"/>
        <v>0</v>
      </c>
      <c r="H202" s="82">
        <f t="shared" si="7"/>
        <v>0</v>
      </c>
      <c r="I202" s="83">
        <f t="shared" si="8"/>
        <v>0</v>
      </c>
      <c r="J202" s="84">
        <f t="shared" si="9"/>
        <v>0</v>
      </c>
      <c r="K202" s="80">
        <f t="shared" si="10"/>
        <v>0</v>
      </c>
      <c r="L202" s="36"/>
      <c r="M202" s="56"/>
      <c r="N202" s="58"/>
    </row>
    <row r="203" ht="15.75" customHeight="1">
      <c r="B203" s="51"/>
      <c r="C203" s="53"/>
      <c r="D203" s="53"/>
      <c r="E203" s="53"/>
      <c r="F203" s="53"/>
      <c r="G203" s="54">
        <f t="shared" si="6"/>
        <v>0</v>
      </c>
      <c r="H203" s="82">
        <f t="shared" si="7"/>
        <v>0</v>
      </c>
      <c r="I203" s="83">
        <f t="shared" si="8"/>
        <v>0</v>
      </c>
      <c r="J203" s="84">
        <f t="shared" si="9"/>
        <v>0</v>
      </c>
      <c r="K203" s="80">
        <f t="shared" si="10"/>
        <v>0</v>
      </c>
      <c r="L203" s="36"/>
      <c r="M203" s="56"/>
      <c r="N203" s="58"/>
    </row>
    <row r="204" ht="15.75" customHeight="1">
      <c r="B204" s="89"/>
      <c r="C204" s="62"/>
      <c r="D204" s="62"/>
      <c r="E204" s="62"/>
      <c r="F204" s="62"/>
      <c r="G204" s="90">
        <f t="shared" si="6"/>
        <v>0</v>
      </c>
      <c r="H204" s="91">
        <f t="shared" si="7"/>
        <v>0</v>
      </c>
      <c r="I204" s="92">
        <f t="shared" si="8"/>
        <v>0</v>
      </c>
      <c r="J204" s="93">
        <f t="shared" si="9"/>
        <v>0</v>
      </c>
      <c r="K204" s="94">
        <f t="shared" si="10"/>
        <v>0</v>
      </c>
      <c r="L204" s="36"/>
      <c r="M204" s="56"/>
      <c r="N204" s="58"/>
    </row>
    <row r="205" ht="15.75" customHeight="1">
      <c r="B205" s="95" t="s">
        <v>29</v>
      </c>
      <c r="C205" s="96"/>
      <c r="D205" s="97"/>
      <c r="E205" s="96"/>
      <c r="F205" s="96"/>
      <c r="G205" s="98">
        <f t="shared" ref="G205:K205" si="11">SUM(G61:G204)</f>
        <v>2000</v>
      </c>
      <c r="H205" s="98">
        <f t="shared" si="11"/>
        <v>380</v>
      </c>
      <c r="I205" s="98">
        <f t="shared" si="11"/>
        <v>69</v>
      </c>
      <c r="J205" s="98">
        <f t="shared" si="11"/>
        <v>1551</v>
      </c>
      <c r="K205" s="98">
        <f t="shared" si="11"/>
        <v>1931</v>
      </c>
      <c r="L205" s="36"/>
      <c r="M205" s="56"/>
      <c r="N205" s="58"/>
    </row>
    <row r="206" ht="15.75" customHeight="1">
      <c r="L206" s="36"/>
      <c r="M206" s="56"/>
      <c r="N206" s="58"/>
    </row>
    <row r="207" ht="15.75" customHeight="1"/>
    <row r="208" ht="15.75" customHeight="1">
      <c r="L208" s="36"/>
      <c r="M208" s="36"/>
      <c r="N208" s="36"/>
    </row>
    <row r="209" ht="15.75" customHeight="1">
      <c r="L209" s="36"/>
      <c r="M209" s="56"/>
      <c r="N209" s="58"/>
    </row>
    <row r="210" ht="15.75" customHeight="1">
      <c r="L210" s="36"/>
      <c r="M210" s="56"/>
      <c r="N210" s="58"/>
    </row>
    <row r="211" ht="15.75" customHeight="1">
      <c r="L211" s="36"/>
      <c r="M211" s="56"/>
      <c r="N211" s="58"/>
    </row>
    <row r="212" ht="15.75" customHeight="1">
      <c r="L212" s="36"/>
      <c r="M212" s="56"/>
      <c r="N212" s="58"/>
    </row>
    <row r="213" ht="15.75" customHeight="1">
      <c r="L213" s="36"/>
      <c r="M213" s="56"/>
      <c r="N213" s="58"/>
    </row>
    <row r="214" ht="15.75" customHeight="1">
      <c r="L214" s="36"/>
      <c r="M214" s="56"/>
      <c r="N214" s="58"/>
    </row>
    <row r="215" ht="15.75" customHeight="1">
      <c r="L215" s="36"/>
      <c r="M215" s="56"/>
      <c r="N215" s="58"/>
    </row>
    <row r="216" ht="15.75" customHeight="1">
      <c r="L216" s="36"/>
      <c r="M216" s="56"/>
      <c r="N216" s="58"/>
    </row>
    <row r="217" ht="15.75" customHeight="1">
      <c r="L217" s="36"/>
      <c r="M217" s="56"/>
      <c r="N217" s="58"/>
    </row>
    <row r="218" ht="15.75" customHeight="1">
      <c r="L218" s="36"/>
      <c r="M218" s="56"/>
      <c r="N218" s="58"/>
    </row>
    <row r="219" ht="15.75" customHeight="1">
      <c r="L219" s="36"/>
      <c r="M219" s="56"/>
      <c r="N219" s="58"/>
    </row>
    <row r="220" ht="15.75" customHeight="1">
      <c r="L220" s="36"/>
      <c r="M220" s="56"/>
      <c r="N220" s="58"/>
    </row>
    <row r="221" ht="15.75" customHeight="1">
      <c r="L221" s="36"/>
      <c r="M221" s="56"/>
      <c r="N221" s="58"/>
    </row>
    <row r="222" ht="15.75" customHeight="1">
      <c r="L222" s="36"/>
      <c r="M222" s="56"/>
      <c r="N222" s="58"/>
    </row>
    <row r="223" ht="15.75" customHeight="1">
      <c r="L223" s="36"/>
      <c r="M223" s="56"/>
      <c r="N223" s="58"/>
    </row>
    <row r="224" ht="15.75" customHeight="1"/>
    <row r="225" ht="15.75" customHeight="1">
      <c r="L225" s="99"/>
      <c r="M225" s="100"/>
      <c r="N225" s="101"/>
    </row>
    <row r="226" ht="15.75" customHeight="1">
      <c r="L226" s="36"/>
      <c r="M226" s="36"/>
      <c r="N226" s="58"/>
    </row>
    <row r="227" ht="15.75" customHeight="1">
      <c r="L227" s="36"/>
      <c r="M227" s="36"/>
      <c r="N227" s="58"/>
    </row>
    <row r="228" ht="15.75" customHeight="1">
      <c r="L228" s="36"/>
      <c r="M228" s="36"/>
      <c r="N228" s="58"/>
    </row>
    <row r="229" ht="15.75" customHeight="1">
      <c r="L229" s="36"/>
      <c r="M229" s="36"/>
      <c r="N229" s="58"/>
    </row>
    <row r="230" ht="15.75" customHeight="1">
      <c r="L230" s="36"/>
      <c r="M230" s="36"/>
      <c r="N230" s="58"/>
    </row>
    <row r="231" ht="15.75" customHeight="1">
      <c r="L231" s="36"/>
      <c r="M231" s="36"/>
      <c r="N231" s="58"/>
    </row>
    <row r="232" ht="15.75" customHeight="1">
      <c r="L232" s="36"/>
      <c r="M232" s="36"/>
      <c r="N232" s="58"/>
    </row>
    <row r="233" ht="15.75" customHeight="1">
      <c r="L233" s="36"/>
      <c r="M233" s="36"/>
      <c r="N233" s="58"/>
    </row>
    <row r="234" ht="15.75" customHeight="1">
      <c r="L234" s="36"/>
      <c r="M234" s="36"/>
      <c r="N234" s="58"/>
    </row>
    <row r="235" ht="15.75" customHeight="1">
      <c r="L235" s="36"/>
      <c r="M235" s="36"/>
      <c r="N235" s="58"/>
    </row>
    <row r="236" ht="15.75" customHeight="1">
      <c r="L236" s="36"/>
      <c r="M236" s="36"/>
      <c r="N236" s="58"/>
    </row>
    <row r="237" ht="15.75" customHeight="1">
      <c r="L237" s="36"/>
      <c r="M237" s="36"/>
      <c r="N237" s="58"/>
    </row>
    <row r="238" ht="15.75" customHeight="1">
      <c r="L238" s="36"/>
      <c r="M238" s="36"/>
      <c r="N238" s="58"/>
    </row>
    <row r="239" ht="15.75" customHeight="1">
      <c r="L239" s="36"/>
      <c r="M239" s="36"/>
      <c r="N239" s="58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6" width="10.71"/>
    <col customWidth="1" min="7" max="7" width="3.0"/>
    <col customWidth="1" min="8" max="8" width="10.86"/>
    <col customWidth="1" min="9" max="9" width="12.43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12" t="s">
        <v>22</v>
      </c>
      <c r="B3" s="113">
        <v>2000.0</v>
      </c>
      <c r="C3" s="114">
        <v>1.0</v>
      </c>
      <c r="D3" s="11">
        <f t="shared" ref="D3:D38" si="2">B3*C3</f>
        <v>2000</v>
      </c>
      <c r="E3" s="11">
        <f t="shared" ref="E3:E38" si="3">D3*0.19</f>
        <v>380</v>
      </c>
      <c r="F3" s="115">
        <f t="shared" ref="F3:F38" si="4">D3-E3</f>
        <v>1620</v>
      </c>
      <c r="H3" s="116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2000</v>
      </c>
      <c r="Q3" s="11">
        <f t="shared" si="1"/>
        <v>380</v>
      </c>
      <c r="R3" s="11">
        <f>M39</f>
        <v>0</v>
      </c>
      <c r="S3" s="14">
        <f>P3-Q3-R3</f>
        <v>1620</v>
      </c>
    </row>
    <row r="4">
      <c r="A4" s="117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6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17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6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6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6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6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2000</v>
      </c>
      <c r="E39" s="120">
        <f t="shared" ref="E39:F39" si="9">SUM(E3:E38)</f>
        <v>380</v>
      </c>
      <c r="F39" s="121">
        <f t="shared" si="9"/>
        <v>1620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24" t="s">
        <v>33</v>
      </c>
      <c r="I3" s="125">
        <v>2000.0</v>
      </c>
      <c r="J3" s="126">
        <v>1.0</v>
      </c>
      <c r="K3" s="13">
        <f t="shared" ref="K3:K38" si="5">I3*J3</f>
        <v>2000</v>
      </c>
      <c r="L3" s="13">
        <f t="shared" ref="L3:L38" si="6">K3*0.19</f>
        <v>380</v>
      </c>
      <c r="M3" s="13">
        <f t="shared" ref="M3:M38" si="7">K3*0.0345</f>
        <v>69</v>
      </c>
      <c r="N3" s="115">
        <f t="shared" ref="N3:N38" si="8">K3-L3-M3</f>
        <v>1551</v>
      </c>
      <c r="O3" s="11"/>
      <c r="P3" s="11">
        <f t="shared" ref="P3:Q3" si="1">D39+K39</f>
        <v>2000</v>
      </c>
      <c r="Q3" s="11">
        <f t="shared" si="1"/>
        <v>380</v>
      </c>
      <c r="R3" s="11">
        <f>M39</f>
        <v>69</v>
      </c>
      <c r="S3" s="14">
        <f>P3-Q3-R3</f>
        <v>1551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2000</v>
      </c>
      <c r="L39" s="122">
        <f>SUM(L2:L38)</f>
        <v>380</v>
      </c>
      <c r="M39" s="123">
        <f t="shared" ref="M39:N39" si="10">SUM(M3:M38)</f>
        <v>69</v>
      </c>
      <c r="N39" s="121">
        <f t="shared" si="10"/>
        <v>1551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17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3.0"/>
    <col customWidth="1" min="8" max="8" width="10.86"/>
    <col customWidth="1" min="9" max="9" width="7.57"/>
    <col customWidth="1" min="10" max="10" width="10.29"/>
    <col customWidth="1" min="11" max="13" width="12.43"/>
    <col customWidth="1" min="14" max="14" width="11.14"/>
    <col customWidth="1" min="15" max="15" width="2.57"/>
    <col customWidth="1" min="16" max="16" width="13.29"/>
    <col customWidth="1" min="17" max="17" width="10.71"/>
    <col customWidth="1" min="18" max="18" width="12.86"/>
    <col customWidth="1" min="19" max="19" width="12.43"/>
    <col customWidth="1" min="20" max="30" width="10.71"/>
  </cols>
  <sheetData>
    <row r="1">
      <c r="A1" s="102" t="s">
        <v>16</v>
      </c>
      <c r="H1" s="103" t="s">
        <v>24</v>
      </c>
      <c r="I1" s="2"/>
      <c r="J1" s="2"/>
      <c r="K1" s="2"/>
      <c r="L1" s="2"/>
      <c r="M1" s="2"/>
    </row>
    <row r="2">
      <c r="A2" s="3" t="s">
        <v>0</v>
      </c>
      <c r="B2" s="5" t="s">
        <v>2</v>
      </c>
      <c r="C2" s="6" t="s">
        <v>3</v>
      </c>
      <c r="D2" s="104" t="s">
        <v>4</v>
      </c>
      <c r="E2" s="104" t="s">
        <v>19</v>
      </c>
      <c r="F2" s="105" t="s">
        <v>20</v>
      </c>
      <c r="G2" s="8"/>
      <c r="H2" s="106" t="s">
        <v>0</v>
      </c>
      <c r="I2" s="107" t="s">
        <v>2</v>
      </c>
      <c r="J2" s="108" t="s">
        <v>3</v>
      </c>
      <c r="K2" s="109" t="s">
        <v>4</v>
      </c>
      <c r="L2" s="109" t="s">
        <v>19</v>
      </c>
      <c r="M2" s="109" t="s">
        <v>24</v>
      </c>
      <c r="N2" s="110" t="s">
        <v>30</v>
      </c>
      <c r="O2" s="8"/>
      <c r="P2" s="111" t="s">
        <v>31</v>
      </c>
      <c r="Q2" s="111" t="s">
        <v>8</v>
      </c>
      <c r="R2" s="111" t="s">
        <v>9</v>
      </c>
      <c r="S2" s="111" t="s">
        <v>10</v>
      </c>
    </row>
    <row r="3">
      <c r="A3" s="10"/>
      <c r="B3" s="11"/>
      <c r="C3" s="1"/>
      <c r="D3" s="11">
        <f t="shared" ref="D3:D38" si="2">B3*C3</f>
        <v>0</v>
      </c>
      <c r="E3" s="11">
        <f t="shared" ref="E3:E38" si="3">D3*0.19</f>
        <v>0</v>
      </c>
      <c r="F3" s="115">
        <f t="shared" ref="F3:F38" si="4">D3-E3</f>
        <v>0</v>
      </c>
      <c r="H3" s="118"/>
      <c r="I3" s="12"/>
      <c r="J3" s="2"/>
      <c r="K3" s="13">
        <f t="shared" ref="K3:K38" si="5">I3*J3</f>
        <v>0</v>
      </c>
      <c r="L3" s="13">
        <f t="shared" ref="L3:L38" si="6">K3*0.19</f>
        <v>0</v>
      </c>
      <c r="M3" s="13">
        <f t="shared" ref="M3:M38" si="7">K3*0.0345</f>
        <v>0</v>
      </c>
      <c r="N3" s="115">
        <f t="shared" ref="N3:N38" si="8">K3-L3-M3</f>
        <v>0</v>
      </c>
      <c r="O3" s="11"/>
      <c r="P3" s="11">
        <f t="shared" ref="P3:Q3" si="1">D39+K39</f>
        <v>0</v>
      </c>
      <c r="Q3" s="11">
        <f t="shared" si="1"/>
        <v>0</v>
      </c>
      <c r="R3" s="11">
        <f>M39</f>
        <v>0</v>
      </c>
      <c r="S3" s="14">
        <f>P3-Q3-R3</f>
        <v>0</v>
      </c>
    </row>
    <row r="4">
      <c r="A4" s="10"/>
      <c r="B4" s="11"/>
      <c r="C4" s="1"/>
      <c r="D4" s="11">
        <f t="shared" si="2"/>
        <v>0</v>
      </c>
      <c r="E4" s="11">
        <f t="shared" si="3"/>
        <v>0</v>
      </c>
      <c r="F4" s="115">
        <f t="shared" si="4"/>
        <v>0</v>
      </c>
      <c r="H4" s="118"/>
      <c r="I4" s="12"/>
      <c r="J4" s="2"/>
      <c r="K4" s="13">
        <f t="shared" si="5"/>
        <v>0</v>
      </c>
      <c r="L4" s="13">
        <f t="shared" si="6"/>
        <v>0</v>
      </c>
      <c r="M4" s="13">
        <f t="shared" si="7"/>
        <v>0</v>
      </c>
      <c r="N4" s="115">
        <f t="shared" si="8"/>
        <v>0</v>
      </c>
    </row>
    <row r="5">
      <c r="A5" s="10"/>
      <c r="B5" s="11"/>
      <c r="C5" s="1"/>
      <c r="D5" s="11">
        <f t="shared" si="2"/>
        <v>0</v>
      </c>
      <c r="E5" s="11">
        <f t="shared" si="3"/>
        <v>0</v>
      </c>
      <c r="F5" s="115">
        <f t="shared" si="4"/>
        <v>0</v>
      </c>
      <c r="H5" s="118"/>
      <c r="I5" s="12"/>
      <c r="J5" s="2"/>
      <c r="K5" s="13">
        <f t="shared" si="5"/>
        <v>0</v>
      </c>
      <c r="L5" s="13">
        <f t="shared" si="6"/>
        <v>0</v>
      </c>
      <c r="M5" s="13">
        <f t="shared" si="7"/>
        <v>0</v>
      </c>
      <c r="N5" s="115">
        <f t="shared" si="8"/>
        <v>0</v>
      </c>
    </row>
    <row r="6">
      <c r="A6" s="10"/>
      <c r="B6" s="11"/>
      <c r="C6" s="1"/>
      <c r="D6" s="11">
        <f t="shared" si="2"/>
        <v>0</v>
      </c>
      <c r="E6" s="11">
        <f t="shared" si="3"/>
        <v>0</v>
      </c>
      <c r="F6" s="115">
        <f t="shared" si="4"/>
        <v>0</v>
      </c>
      <c r="H6" s="118"/>
      <c r="I6" s="12"/>
      <c r="J6" s="2"/>
      <c r="K6" s="13">
        <f t="shared" si="5"/>
        <v>0</v>
      </c>
      <c r="L6" s="13">
        <f t="shared" si="6"/>
        <v>0</v>
      </c>
      <c r="M6" s="13">
        <f t="shared" si="7"/>
        <v>0</v>
      </c>
      <c r="N6" s="115">
        <f t="shared" si="8"/>
        <v>0</v>
      </c>
    </row>
    <row r="7">
      <c r="A7" s="10"/>
      <c r="B7" s="11"/>
      <c r="C7" s="1"/>
      <c r="D7" s="11">
        <f t="shared" si="2"/>
        <v>0</v>
      </c>
      <c r="E7" s="11">
        <f t="shared" si="3"/>
        <v>0</v>
      </c>
      <c r="F7" s="115">
        <f t="shared" si="4"/>
        <v>0</v>
      </c>
      <c r="H7" s="118"/>
      <c r="I7" s="12"/>
      <c r="J7" s="2"/>
      <c r="K7" s="13">
        <f t="shared" si="5"/>
        <v>0</v>
      </c>
      <c r="L7" s="13">
        <f t="shared" si="6"/>
        <v>0</v>
      </c>
      <c r="M7" s="13">
        <f t="shared" si="7"/>
        <v>0</v>
      </c>
      <c r="N7" s="115">
        <f t="shared" si="8"/>
        <v>0</v>
      </c>
    </row>
    <row r="8">
      <c r="A8" s="10"/>
      <c r="B8" s="11"/>
      <c r="C8" s="1"/>
      <c r="D8" s="11">
        <f t="shared" si="2"/>
        <v>0</v>
      </c>
      <c r="E8" s="11">
        <f t="shared" si="3"/>
        <v>0</v>
      </c>
      <c r="F8" s="115">
        <f t="shared" si="4"/>
        <v>0</v>
      </c>
      <c r="H8" s="118"/>
      <c r="I8" s="12"/>
      <c r="J8" s="2"/>
      <c r="K8" s="13">
        <f t="shared" si="5"/>
        <v>0</v>
      </c>
      <c r="L8" s="13">
        <f t="shared" si="6"/>
        <v>0</v>
      </c>
      <c r="M8" s="13">
        <f t="shared" si="7"/>
        <v>0</v>
      </c>
      <c r="N8" s="115">
        <f t="shared" si="8"/>
        <v>0</v>
      </c>
    </row>
    <row r="9">
      <c r="A9" s="10"/>
      <c r="B9" s="11"/>
      <c r="C9" s="1"/>
      <c r="D9" s="11">
        <f t="shared" si="2"/>
        <v>0</v>
      </c>
      <c r="E9" s="11">
        <f t="shared" si="3"/>
        <v>0</v>
      </c>
      <c r="F9" s="115">
        <f t="shared" si="4"/>
        <v>0</v>
      </c>
      <c r="H9" s="118"/>
      <c r="I9" s="12"/>
      <c r="J9" s="2"/>
      <c r="K9" s="13">
        <f t="shared" si="5"/>
        <v>0</v>
      </c>
      <c r="L9" s="13">
        <f t="shared" si="6"/>
        <v>0</v>
      </c>
      <c r="M9" s="13">
        <f t="shared" si="7"/>
        <v>0</v>
      </c>
      <c r="N9" s="115">
        <f t="shared" si="8"/>
        <v>0</v>
      </c>
    </row>
    <row r="10">
      <c r="A10" s="10"/>
      <c r="B10" s="11"/>
      <c r="C10" s="1"/>
      <c r="D10" s="11">
        <f t="shared" si="2"/>
        <v>0</v>
      </c>
      <c r="E10" s="11">
        <f t="shared" si="3"/>
        <v>0</v>
      </c>
      <c r="F10" s="115">
        <f t="shared" si="4"/>
        <v>0</v>
      </c>
      <c r="H10" s="118"/>
      <c r="I10" s="12"/>
      <c r="J10" s="2"/>
      <c r="K10" s="13">
        <f t="shared" si="5"/>
        <v>0</v>
      </c>
      <c r="L10" s="13">
        <f t="shared" si="6"/>
        <v>0</v>
      </c>
      <c r="M10" s="13">
        <f t="shared" si="7"/>
        <v>0</v>
      </c>
      <c r="N10" s="115">
        <f t="shared" si="8"/>
        <v>0</v>
      </c>
    </row>
    <row r="11">
      <c r="A11" s="10"/>
      <c r="B11" s="11"/>
      <c r="C11" s="1"/>
      <c r="D11" s="11">
        <f t="shared" si="2"/>
        <v>0</v>
      </c>
      <c r="E11" s="11">
        <f t="shared" si="3"/>
        <v>0</v>
      </c>
      <c r="F11" s="115">
        <f t="shared" si="4"/>
        <v>0</v>
      </c>
      <c r="H11" s="118"/>
      <c r="I11" s="12"/>
      <c r="J11" s="2"/>
      <c r="K11" s="13">
        <f t="shared" si="5"/>
        <v>0</v>
      </c>
      <c r="L11" s="13">
        <f t="shared" si="6"/>
        <v>0</v>
      </c>
      <c r="M11" s="13">
        <f t="shared" si="7"/>
        <v>0</v>
      </c>
      <c r="N11" s="115">
        <f t="shared" si="8"/>
        <v>0</v>
      </c>
    </row>
    <row r="12">
      <c r="A12" s="10"/>
      <c r="B12" s="11"/>
      <c r="C12" s="1"/>
      <c r="D12" s="11">
        <f t="shared" si="2"/>
        <v>0</v>
      </c>
      <c r="E12" s="11">
        <f t="shared" si="3"/>
        <v>0</v>
      </c>
      <c r="F12" s="115">
        <f t="shared" si="4"/>
        <v>0</v>
      </c>
      <c r="H12" s="118"/>
      <c r="I12" s="12"/>
      <c r="J12" s="2"/>
      <c r="K12" s="13">
        <f t="shared" si="5"/>
        <v>0</v>
      </c>
      <c r="L12" s="13">
        <f t="shared" si="6"/>
        <v>0</v>
      </c>
      <c r="M12" s="13">
        <f t="shared" si="7"/>
        <v>0</v>
      </c>
      <c r="N12" s="115">
        <f t="shared" si="8"/>
        <v>0</v>
      </c>
    </row>
    <row r="13">
      <c r="A13" s="10"/>
      <c r="B13" s="11"/>
      <c r="C13" s="1"/>
      <c r="D13" s="11">
        <f t="shared" si="2"/>
        <v>0</v>
      </c>
      <c r="E13" s="11">
        <f t="shared" si="3"/>
        <v>0</v>
      </c>
      <c r="F13" s="115">
        <f t="shared" si="4"/>
        <v>0</v>
      </c>
      <c r="H13" s="118"/>
      <c r="I13" s="12"/>
      <c r="J13" s="2"/>
      <c r="K13" s="13">
        <f t="shared" si="5"/>
        <v>0</v>
      </c>
      <c r="L13" s="13">
        <f t="shared" si="6"/>
        <v>0</v>
      </c>
      <c r="M13" s="13">
        <f t="shared" si="7"/>
        <v>0</v>
      </c>
      <c r="N13" s="115">
        <f t="shared" si="8"/>
        <v>0</v>
      </c>
    </row>
    <row r="14">
      <c r="A14" s="10"/>
      <c r="B14" s="11"/>
      <c r="C14" s="1"/>
      <c r="D14" s="11">
        <f t="shared" si="2"/>
        <v>0</v>
      </c>
      <c r="E14" s="11">
        <f t="shared" si="3"/>
        <v>0</v>
      </c>
      <c r="F14" s="115">
        <f t="shared" si="4"/>
        <v>0</v>
      </c>
      <c r="H14" s="118"/>
      <c r="I14" s="12"/>
      <c r="J14" s="2"/>
      <c r="K14" s="13">
        <f t="shared" si="5"/>
        <v>0</v>
      </c>
      <c r="L14" s="13">
        <f t="shared" si="6"/>
        <v>0</v>
      </c>
      <c r="M14" s="13">
        <f t="shared" si="7"/>
        <v>0</v>
      </c>
      <c r="N14" s="115">
        <f t="shared" si="8"/>
        <v>0</v>
      </c>
    </row>
    <row r="15">
      <c r="A15" s="10"/>
      <c r="B15" s="11"/>
      <c r="C15" s="1"/>
      <c r="D15" s="11">
        <f t="shared" si="2"/>
        <v>0</v>
      </c>
      <c r="E15" s="11">
        <f t="shared" si="3"/>
        <v>0</v>
      </c>
      <c r="F15" s="115">
        <f t="shared" si="4"/>
        <v>0</v>
      </c>
      <c r="H15" s="118"/>
      <c r="I15" s="12"/>
      <c r="J15" s="2"/>
      <c r="K15" s="13">
        <f t="shared" si="5"/>
        <v>0</v>
      </c>
      <c r="L15" s="13">
        <f t="shared" si="6"/>
        <v>0</v>
      </c>
      <c r="M15" s="13">
        <f t="shared" si="7"/>
        <v>0</v>
      </c>
      <c r="N15" s="115">
        <f t="shared" si="8"/>
        <v>0</v>
      </c>
    </row>
    <row r="16">
      <c r="A16" s="10"/>
      <c r="B16" s="11"/>
      <c r="C16" s="1"/>
      <c r="D16" s="11">
        <f t="shared" si="2"/>
        <v>0</v>
      </c>
      <c r="E16" s="11">
        <f t="shared" si="3"/>
        <v>0</v>
      </c>
      <c r="F16" s="115">
        <f t="shared" si="4"/>
        <v>0</v>
      </c>
      <c r="H16" s="118"/>
      <c r="I16" s="12"/>
      <c r="J16" s="2"/>
      <c r="K16" s="13">
        <f t="shared" si="5"/>
        <v>0</v>
      </c>
      <c r="L16" s="13">
        <f t="shared" si="6"/>
        <v>0</v>
      </c>
      <c r="M16" s="13">
        <f t="shared" si="7"/>
        <v>0</v>
      </c>
      <c r="N16" s="115">
        <f t="shared" si="8"/>
        <v>0</v>
      </c>
    </row>
    <row r="17">
      <c r="A17" s="10"/>
      <c r="B17" s="11"/>
      <c r="C17" s="1"/>
      <c r="D17" s="11">
        <f t="shared" si="2"/>
        <v>0</v>
      </c>
      <c r="E17" s="11">
        <f t="shared" si="3"/>
        <v>0</v>
      </c>
      <c r="F17" s="115">
        <f t="shared" si="4"/>
        <v>0</v>
      </c>
      <c r="H17" s="118"/>
      <c r="I17" s="12"/>
      <c r="J17" s="2"/>
      <c r="K17" s="13">
        <f t="shared" si="5"/>
        <v>0</v>
      </c>
      <c r="L17" s="13">
        <f t="shared" si="6"/>
        <v>0</v>
      </c>
      <c r="M17" s="13">
        <f t="shared" si="7"/>
        <v>0</v>
      </c>
      <c r="N17" s="115">
        <f t="shared" si="8"/>
        <v>0</v>
      </c>
    </row>
    <row r="18">
      <c r="A18" s="10"/>
      <c r="B18" s="11"/>
      <c r="C18" s="1"/>
      <c r="D18" s="11">
        <f t="shared" si="2"/>
        <v>0</v>
      </c>
      <c r="E18" s="11">
        <f t="shared" si="3"/>
        <v>0</v>
      </c>
      <c r="F18" s="115">
        <f t="shared" si="4"/>
        <v>0</v>
      </c>
      <c r="H18" s="118"/>
      <c r="I18" s="12"/>
      <c r="J18" s="2"/>
      <c r="K18" s="13">
        <f t="shared" si="5"/>
        <v>0</v>
      </c>
      <c r="L18" s="13">
        <f t="shared" si="6"/>
        <v>0</v>
      </c>
      <c r="M18" s="13">
        <f t="shared" si="7"/>
        <v>0</v>
      </c>
      <c r="N18" s="115">
        <f t="shared" si="8"/>
        <v>0</v>
      </c>
    </row>
    <row r="19">
      <c r="A19" s="10"/>
      <c r="B19" s="11"/>
      <c r="D19" s="11">
        <f t="shared" si="2"/>
        <v>0</v>
      </c>
      <c r="E19" s="11">
        <f t="shared" si="3"/>
        <v>0</v>
      </c>
      <c r="F19" s="115">
        <f t="shared" si="4"/>
        <v>0</v>
      </c>
      <c r="H19" s="118"/>
      <c r="I19" s="12"/>
      <c r="J19" s="2"/>
      <c r="K19" s="13">
        <f t="shared" si="5"/>
        <v>0</v>
      </c>
      <c r="L19" s="13">
        <f t="shared" si="6"/>
        <v>0</v>
      </c>
      <c r="M19" s="13">
        <f t="shared" si="7"/>
        <v>0</v>
      </c>
      <c r="N19" s="115">
        <f t="shared" si="8"/>
        <v>0</v>
      </c>
    </row>
    <row r="20">
      <c r="A20" s="10"/>
      <c r="B20" s="11"/>
      <c r="D20" s="11">
        <f t="shared" si="2"/>
        <v>0</v>
      </c>
      <c r="E20" s="11">
        <f t="shared" si="3"/>
        <v>0</v>
      </c>
      <c r="F20" s="115">
        <f t="shared" si="4"/>
        <v>0</v>
      </c>
      <c r="H20" s="118"/>
      <c r="I20" s="12"/>
      <c r="J20" s="2"/>
      <c r="K20" s="13">
        <f t="shared" si="5"/>
        <v>0</v>
      </c>
      <c r="L20" s="13">
        <f t="shared" si="6"/>
        <v>0</v>
      </c>
      <c r="M20" s="13">
        <f t="shared" si="7"/>
        <v>0</v>
      </c>
      <c r="N20" s="115">
        <f t="shared" si="8"/>
        <v>0</v>
      </c>
    </row>
    <row r="21" ht="15.75" customHeight="1">
      <c r="A21" s="10"/>
      <c r="B21" s="11"/>
      <c r="D21" s="11">
        <f t="shared" si="2"/>
        <v>0</v>
      </c>
      <c r="E21" s="11">
        <f t="shared" si="3"/>
        <v>0</v>
      </c>
      <c r="F21" s="115">
        <f t="shared" si="4"/>
        <v>0</v>
      </c>
      <c r="H21" s="118"/>
      <c r="I21" s="12"/>
      <c r="J21" s="2"/>
      <c r="K21" s="13">
        <f t="shared" si="5"/>
        <v>0</v>
      </c>
      <c r="L21" s="13">
        <f t="shared" si="6"/>
        <v>0</v>
      </c>
      <c r="M21" s="13">
        <f t="shared" si="7"/>
        <v>0</v>
      </c>
      <c r="N21" s="115">
        <f t="shared" si="8"/>
        <v>0</v>
      </c>
    </row>
    <row r="22" ht="15.75" customHeight="1">
      <c r="A22" s="10"/>
      <c r="B22" s="11"/>
      <c r="D22" s="11">
        <f t="shared" si="2"/>
        <v>0</v>
      </c>
      <c r="E22" s="11">
        <f t="shared" si="3"/>
        <v>0</v>
      </c>
      <c r="F22" s="115">
        <f t="shared" si="4"/>
        <v>0</v>
      </c>
      <c r="H22" s="118"/>
      <c r="I22" s="12"/>
      <c r="J22" s="2"/>
      <c r="K22" s="13">
        <f t="shared" si="5"/>
        <v>0</v>
      </c>
      <c r="L22" s="13">
        <f t="shared" si="6"/>
        <v>0</v>
      </c>
      <c r="M22" s="13">
        <f t="shared" si="7"/>
        <v>0</v>
      </c>
      <c r="N22" s="115">
        <f t="shared" si="8"/>
        <v>0</v>
      </c>
    </row>
    <row r="23" ht="15.75" customHeight="1">
      <c r="A23" s="10"/>
      <c r="B23" s="11"/>
      <c r="D23" s="11">
        <f t="shared" si="2"/>
        <v>0</v>
      </c>
      <c r="E23" s="11">
        <f t="shared" si="3"/>
        <v>0</v>
      </c>
      <c r="F23" s="115">
        <f t="shared" si="4"/>
        <v>0</v>
      </c>
      <c r="H23" s="118"/>
      <c r="I23" s="12"/>
      <c r="J23" s="2"/>
      <c r="K23" s="13">
        <f t="shared" si="5"/>
        <v>0</v>
      </c>
      <c r="L23" s="13">
        <f t="shared" si="6"/>
        <v>0</v>
      </c>
      <c r="M23" s="13">
        <f t="shared" si="7"/>
        <v>0</v>
      </c>
      <c r="N23" s="115">
        <f t="shared" si="8"/>
        <v>0</v>
      </c>
    </row>
    <row r="24" ht="15.75" customHeight="1">
      <c r="A24" s="10"/>
      <c r="B24" s="11"/>
      <c r="D24" s="11">
        <f t="shared" si="2"/>
        <v>0</v>
      </c>
      <c r="E24" s="11">
        <f t="shared" si="3"/>
        <v>0</v>
      </c>
      <c r="F24" s="115">
        <f t="shared" si="4"/>
        <v>0</v>
      </c>
      <c r="H24" s="118"/>
      <c r="I24" s="12"/>
      <c r="J24" s="2"/>
      <c r="K24" s="13">
        <f t="shared" si="5"/>
        <v>0</v>
      </c>
      <c r="L24" s="13">
        <f t="shared" si="6"/>
        <v>0</v>
      </c>
      <c r="M24" s="13">
        <f t="shared" si="7"/>
        <v>0</v>
      </c>
      <c r="N24" s="115">
        <f t="shared" si="8"/>
        <v>0</v>
      </c>
    </row>
    <row r="25" ht="15.75" customHeight="1">
      <c r="A25" s="10"/>
      <c r="B25" s="11"/>
      <c r="D25" s="11">
        <f t="shared" si="2"/>
        <v>0</v>
      </c>
      <c r="E25" s="11">
        <f t="shared" si="3"/>
        <v>0</v>
      </c>
      <c r="F25" s="115">
        <f t="shared" si="4"/>
        <v>0</v>
      </c>
      <c r="H25" s="118"/>
      <c r="I25" s="12"/>
      <c r="J25" s="2"/>
      <c r="K25" s="13">
        <f t="shared" si="5"/>
        <v>0</v>
      </c>
      <c r="L25" s="13">
        <f t="shared" si="6"/>
        <v>0</v>
      </c>
      <c r="M25" s="13">
        <f t="shared" si="7"/>
        <v>0</v>
      </c>
      <c r="N25" s="115">
        <f t="shared" si="8"/>
        <v>0</v>
      </c>
    </row>
    <row r="26" ht="15.75" customHeight="1">
      <c r="A26" s="10"/>
      <c r="B26" s="11"/>
      <c r="D26" s="11">
        <f t="shared" si="2"/>
        <v>0</v>
      </c>
      <c r="E26" s="11">
        <f t="shared" si="3"/>
        <v>0</v>
      </c>
      <c r="F26" s="115">
        <f t="shared" si="4"/>
        <v>0</v>
      </c>
      <c r="H26" s="118"/>
      <c r="I26" s="12"/>
      <c r="J26" s="2"/>
      <c r="K26" s="13">
        <f t="shared" si="5"/>
        <v>0</v>
      </c>
      <c r="L26" s="13">
        <f t="shared" si="6"/>
        <v>0</v>
      </c>
      <c r="M26" s="13">
        <f t="shared" si="7"/>
        <v>0</v>
      </c>
      <c r="N26" s="115">
        <f t="shared" si="8"/>
        <v>0</v>
      </c>
    </row>
    <row r="27" ht="15.75" customHeight="1">
      <c r="A27" s="10"/>
      <c r="B27" s="11"/>
      <c r="D27" s="11">
        <f t="shared" si="2"/>
        <v>0</v>
      </c>
      <c r="E27" s="11">
        <f t="shared" si="3"/>
        <v>0</v>
      </c>
      <c r="F27" s="115">
        <f t="shared" si="4"/>
        <v>0</v>
      </c>
      <c r="H27" s="118"/>
      <c r="I27" s="12"/>
      <c r="J27" s="2"/>
      <c r="K27" s="13">
        <f t="shared" si="5"/>
        <v>0</v>
      </c>
      <c r="L27" s="13">
        <f t="shared" si="6"/>
        <v>0</v>
      </c>
      <c r="M27" s="13">
        <f t="shared" si="7"/>
        <v>0</v>
      </c>
      <c r="N27" s="115">
        <f t="shared" si="8"/>
        <v>0</v>
      </c>
    </row>
    <row r="28" ht="15.75" customHeight="1">
      <c r="A28" s="10"/>
      <c r="B28" s="11"/>
      <c r="D28" s="11">
        <f t="shared" si="2"/>
        <v>0</v>
      </c>
      <c r="E28" s="11">
        <f t="shared" si="3"/>
        <v>0</v>
      </c>
      <c r="F28" s="115">
        <f t="shared" si="4"/>
        <v>0</v>
      </c>
      <c r="H28" s="118"/>
      <c r="I28" s="12"/>
      <c r="J28" s="2"/>
      <c r="K28" s="13">
        <f t="shared" si="5"/>
        <v>0</v>
      </c>
      <c r="L28" s="13">
        <f t="shared" si="6"/>
        <v>0</v>
      </c>
      <c r="M28" s="13">
        <f t="shared" si="7"/>
        <v>0</v>
      </c>
      <c r="N28" s="115">
        <f t="shared" si="8"/>
        <v>0</v>
      </c>
    </row>
    <row r="29" ht="15.75" customHeight="1">
      <c r="A29" s="10"/>
      <c r="B29" s="11"/>
      <c r="D29" s="11">
        <f t="shared" si="2"/>
        <v>0</v>
      </c>
      <c r="E29" s="11">
        <f t="shared" si="3"/>
        <v>0</v>
      </c>
      <c r="F29" s="115">
        <f t="shared" si="4"/>
        <v>0</v>
      </c>
      <c r="H29" s="118"/>
      <c r="I29" s="12"/>
      <c r="J29" s="2"/>
      <c r="K29" s="13">
        <f t="shared" si="5"/>
        <v>0</v>
      </c>
      <c r="L29" s="13">
        <f t="shared" si="6"/>
        <v>0</v>
      </c>
      <c r="M29" s="13">
        <f t="shared" si="7"/>
        <v>0</v>
      </c>
      <c r="N29" s="115">
        <f t="shared" si="8"/>
        <v>0</v>
      </c>
    </row>
    <row r="30" ht="15.75" customHeight="1">
      <c r="A30" s="10"/>
      <c r="B30" s="11"/>
      <c r="D30" s="11">
        <f t="shared" si="2"/>
        <v>0</v>
      </c>
      <c r="E30" s="11">
        <f t="shared" si="3"/>
        <v>0</v>
      </c>
      <c r="F30" s="115">
        <f t="shared" si="4"/>
        <v>0</v>
      </c>
      <c r="H30" s="118"/>
      <c r="I30" s="12"/>
      <c r="J30" s="2"/>
      <c r="K30" s="13">
        <f t="shared" si="5"/>
        <v>0</v>
      </c>
      <c r="L30" s="13">
        <f t="shared" si="6"/>
        <v>0</v>
      </c>
      <c r="M30" s="13">
        <f t="shared" si="7"/>
        <v>0</v>
      </c>
      <c r="N30" s="115">
        <f t="shared" si="8"/>
        <v>0</v>
      </c>
    </row>
    <row r="31" ht="15.75" customHeight="1">
      <c r="A31" s="10"/>
      <c r="B31" s="11"/>
      <c r="D31" s="11">
        <f t="shared" si="2"/>
        <v>0</v>
      </c>
      <c r="E31" s="11">
        <f t="shared" si="3"/>
        <v>0</v>
      </c>
      <c r="F31" s="115">
        <f t="shared" si="4"/>
        <v>0</v>
      </c>
      <c r="H31" s="118"/>
      <c r="I31" s="12"/>
      <c r="J31" s="2"/>
      <c r="K31" s="13">
        <f t="shared" si="5"/>
        <v>0</v>
      </c>
      <c r="L31" s="13">
        <f t="shared" si="6"/>
        <v>0</v>
      </c>
      <c r="M31" s="13">
        <f t="shared" si="7"/>
        <v>0</v>
      </c>
      <c r="N31" s="115">
        <f t="shared" si="8"/>
        <v>0</v>
      </c>
    </row>
    <row r="32" ht="15.75" customHeight="1">
      <c r="A32" s="10"/>
      <c r="B32" s="11"/>
      <c r="D32" s="11">
        <f t="shared" si="2"/>
        <v>0</v>
      </c>
      <c r="E32" s="11">
        <f t="shared" si="3"/>
        <v>0</v>
      </c>
      <c r="F32" s="115">
        <f t="shared" si="4"/>
        <v>0</v>
      </c>
      <c r="H32" s="118"/>
      <c r="I32" s="12"/>
      <c r="J32" s="2"/>
      <c r="K32" s="13">
        <f t="shared" si="5"/>
        <v>0</v>
      </c>
      <c r="L32" s="13">
        <f t="shared" si="6"/>
        <v>0</v>
      </c>
      <c r="M32" s="13">
        <f t="shared" si="7"/>
        <v>0</v>
      </c>
      <c r="N32" s="115">
        <f t="shared" si="8"/>
        <v>0</v>
      </c>
    </row>
    <row r="33" ht="15.75" customHeight="1">
      <c r="A33" s="10"/>
      <c r="B33" s="11"/>
      <c r="D33" s="11">
        <f t="shared" si="2"/>
        <v>0</v>
      </c>
      <c r="E33" s="11">
        <f t="shared" si="3"/>
        <v>0</v>
      </c>
      <c r="F33" s="115">
        <f t="shared" si="4"/>
        <v>0</v>
      </c>
      <c r="H33" s="118"/>
      <c r="I33" s="12"/>
      <c r="J33" s="2"/>
      <c r="K33" s="13">
        <f t="shared" si="5"/>
        <v>0</v>
      </c>
      <c r="L33" s="13">
        <f t="shared" si="6"/>
        <v>0</v>
      </c>
      <c r="M33" s="13">
        <f t="shared" si="7"/>
        <v>0</v>
      </c>
      <c r="N33" s="115">
        <f t="shared" si="8"/>
        <v>0</v>
      </c>
    </row>
    <row r="34" ht="15.75" customHeight="1">
      <c r="A34" s="10"/>
      <c r="B34" s="11"/>
      <c r="D34" s="11">
        <f t="shared" si="2"/>
        <v>0</v>
      </c>
      <c r="E34" s="11">
        <f t="shared" si="3"/>
        <v>0</v>
      </c>
      <c r="F34" s="115">
        <f t="shared" si="4"/>
        <v>0</v>
      </c>
      <c r="H34" s="118"/>
      <c r="I34" s="12"/>
      <c r="J34" s="2"/>
      <c r="K34" s="13">
        <f t="shared" si="5"/>
        <v>0</v>
      </c>
      <c r="L34" s="13">
        <f t="shared" si="6"/>
        <v>0</v>
      </c>
      <c r="M34" s="13">
        <f t="shared" si="7"/>
        <v>0</v>
      </c>
      <c r="N34" s="115">
        <f t="shared" si="8"/>
        <v>0</v>
      </c>
    </row>
    <row r="35" ht="15.75" customHeight="1">
      <c r="A35" s="10"/>
      <c r="B35" s="11"/>
      <c r="D35" s="11">
        <f t="shared" si="2"/>
        <v>0</v>
      </c>
      <c r="E35" s="11">
        <f t="shared" si="3"/>
        <v>0</v>
      </c>
      <c r="F35" s="115">
        <f t="shared" si="4"/>
        <v>0</v>
      </c>
      <c r="H35" s="118"/>
      <c r="I35" s="12"/>
      <c r="J35" s="2"/>
      <c r="K35" s="13">
        <f t="shared" si="5"/>
        <v>0</v>
      </c>
      <c r="L35" s="13">
        <f t="shared" si="6"/>
        <v>0</v>
      </c>
      <c r="M35" s="13">
        <f t="shared" si="7"/>
        <v>0</v>
      </c>
      <c r="N35" s="115">
        <f t="shared" si="8"/>
        <v>0</v>
      </c>
    </row>
    <row r="36" ht="15.75" customHeight="1">
      <c r="A36" s="10"/>
      <c r="B36" s="11"/>
      <c r="D36" s="11">
        <f t="shared" si="2"/>
        <v>0</v>
      </c>
      <c r="E36" s="11">
        <f t="shared" si="3"/>
        <v>0</v>
      </c>
      <c r="F36" s="115">
        <f t="shared" si="4"/>
        <v>0</v>
      </c>
      <c r="H36" s="118"/>
      <c r="I36" s="12"/>
      <c r="J36" s="2"/>
      <c r="K36" s="13">
        <f t="shared" si="5"/>
        <v>0</v>
      </c>
      <c r="L36" s="13">
        <f t="shared" si="6"/>
        <v>0</v>
      </c>
      <c r="M36" s="13">
        <f t="shared" si="7"/>
        <v>0</v>
      </c>
      <c r="N36" s="115">
        <f t="shared" si="8"/>
        <v>0</v>
      </c>
    </row>
    <row r="37" ht="15.75" customHeight="1">
      <c r="A37" s="10"/>
      <c r="B37" s="11"/>
      <c r="D37" s="11">
        <f t="shared" si="2"/>
        <v>0</v>
      </c>
      <c r="E37" s="11">
        <f t="shared" si="3"/>
        <v>0</v>
      </c>
      <c r="F37" s="115">
        <f t="shared" si="4"/>
        <v>0</v>
      </c>
      <c r="H37" s="118"/>
      <c r="I37" s="12"/>
      <c r="J37" s="2"/>
      <c r="K37" s="13">
        <f t="shared" si="5"/>
        <v>0</v>
      </c>
      <c r="L37" s="13">
        <f t="shared" si="6"/>
        <v>0</v>
      </c>
      <c r="M37" s="13">
        <f t="shared" si="7"/>
        <v>0</v>
      </c>
      <c r="N37" s="115">
        <f t="shared" si="8"/>
        <v>0</v>
      </c>
    </row>
    <row r="38" ht="15.75" customHeight="1">
      <c r="A38" s="15"/>
      <c r="B38" s="16"/>
      <c r="C38" s="17"/>
      <c r="D38" s="16">
        <f t="shared" si="2"/>
        <v>0</v>
      </c>
      <c r="E38" s="16">
        <f t="shared" si="3"/>
        <v>0</v>
      </c>
      <c r="F38" s="119">
        <f t="shared" si="4"/>
        <v>0</v>
      </c>
      <c r="H38" s="118"/>
      <c r="I38" s="12"/>
      <c r="J38" s="2"/>
      <c r="K38" s="13">
        <f t="shared" si="5"/>
        <v>0</v>
      </c>
      <c r="L38" s="13">
        <f t="shared" si="6"/>
        <v>0</v>
      </c>
      <c r="M38" s="13">
        <f t="shared" si="7"/>
        <v>0</v>
      </c>
      <c r="N38" s="115">
        <f t="shared" si="8"/>
        <v>0</v>
      </c>
    </row>
    <row r="39" ht="15.75" customHeight="1">
      <c r="A39" s="18" t="s">
        <v>6</v>
      </c>
      <c r="B39" s="19"/>
      <c r="C39" s="19"/>
      <c r="D39" s="20">
        <f>SUM(D2:D38)</f>
        <v>0</v>
      </c>
      <c r="E39" s="120">
        <f t="shared" ref="E39:F39" si="9">SUM(E3:E38)</f>
        <v>0</v>
      </c>
      <c r="F39" s="121">
        <f t="shared" si="9"/>
        <v>0</v>
      </c>
      <c r="H39" s="18" t="s">
        <v>32</v>
      </c>
      <c r="I39" s="122"/>
      <c r="J39" s="19"/>
      <c r="K39" s="122">
        <f>SUM(K3:K38)</f>
        <v>0</v>
      </c>
      <c r="L39" s="122">
        <f>SUM(L2:L38)</f>
        <v>0</v>
      </c>
      <c r="M39" s="123">
        <f t="shared" ref="M39:N39" si="10">SUM(M3:M38)</f>
        <v>0</v>
      </c>
      <c r="N39" s="121">
        <f t="shared" si="10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2022-06-14T00:26:01Z</dcterms:created>
  <dc:creator>dario</dc:creator>
</cp:coreProperties>
</file>